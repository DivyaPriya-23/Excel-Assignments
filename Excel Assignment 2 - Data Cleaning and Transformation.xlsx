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Raju\Desktop\"/>
    </mc:Choice>
  </mc:AlternateContent>
  <xr:revisionPtr revIDLastSave="0" documentId="13_ncr:1_{1AA46EE8-0227-4DA6-A84E-F2D68A11FE3C}" xr6:coauthVersionLast="47" xr6:coauthVersionMax="47" xr10:uidLastSave="{00000000-0000-0000-0000-000000000000}"/>
  <bookViews>
    <workbookView xWindow="-108" yWindow="-108" windowWidth="23256" windowHeight="13896" activeTab="6" xr2:uid="{00000000-000D-0000-FFFF-FFFF00000000}"/>
  </bookViews>
  <sheets>
    <sheet name="Dataset" sheetId="2" r:id="rId1"/>
    <sheet name="Remove Duplicates" sheetId="6" r:id="rId2"/>
    <sheet name="Correcting Inconsistent Data" sheetId="8" r:id="rId3"/>
    <sheet name="Handling Missing Values" sheetId="10" r:id="rId4"/>
    <sheet name="Splitting and Merging Data" sheetId="11" r:id="rId5"/>
    <sheet name="Number Formatting" sheetId="12" r:id="rId6"/>
    <sheet name="Conditional Formatting" sheetId="13" r:id="rId7"/>
  </sheets>
  <definedNames>
    <definedName name="_xlnm._FilterDatabase" localSheetId="6" hidden="1">'Conditional Formatting'!$A$1:$O$32</definedName>
    <definedName name="_xlnm._FilterDatabase" localSheetId="3" hidden="1">'Handling Missing Values'!$A$1:$Q$32</definedName>
    <definedName name="_xlnm._FilterDatabase" localSheetId="5" hidden="1">'Number Formatting'!$A$1:$O$32</definedName>
    <definedName name="_xlnm._FilterDatabase" localSheetId="4" hidden="1">'Splitting and Merging Data'!$A$1:$N$32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0" l="1"/>
  <c r="H2" i="10"/>
  <c r="H2" i="8"/>
  <c r="G2" i="10"/>
  <c r="I2" i="10"/>
  <c r="J32" i="13"/>
  <c r="I32" i="13"/>
  <c r="G32" i="13"/>
  <c r="H32" i="13" s="1"/>
  <c r="J31" i="13"/>
  <c r="I31" i="13"/>
  <c r="G31" i="13"/>
  <c r="H31" i="13" s="1"/>
  <c r="J30" i="13"/>
  <c r="I30" i="13"/>
  <c r="G30" i="13"/>
  <c r="H30" i="13" s="1"/>
  <c r="J29" i="13"/>
  <c r="I29" i="13"/>
  <c r="G29" i="13"/>
  <c r="H29" i="13" s="1"/>
  <c r="J28" i="13"/>
  <c r="I28" i="13"/>
  <c r="G28" i="13"/>
  <c r="H28" i="13" s="1"/>
  <c r="J27" i="13"/>
  <c r="I27" i="13"/>
  <c r="G27" i="13"/>
  <c r="H27" i="13" s="1"/>
  <c r="J26" i="13"/>
  <c r="I26" i="13"/>
  <c r="G26" i="13"/>
  <c r="H26" i="13" s="1"/>
  <c r="J25" i="13"/>
  <c r="I25" i="13"/>
  <c r="G25" i="13"/>
  <c r="H25" i="13" s="1"/>
  <c r="J24" i="13"/>
  <c r="I24" i="13"/>
  <c r="G24" i="13"/>
  <c r="H24" i="13" s="1"/>
  <c r="J23" i="13"/>
  <c r="I23" i="13"/>
  <c r="G23" i="13"/>
  <c r="H23" i="13" s="1"/>
  <c r="J22" i="13"/>
  <c r="I22" i="13"/>
  <c r="G22" i="13"/>
  <c r="H22" i="13" s="1"/>
  <c r="J21" i="13"/>
  <c r="I21" i="13"/>
  <c r="G21" i="13"/>
  <c r="H21" i="13" s="1"/>
  <c r="J20" i="13"/>
  <c r="I20" i="13"/>
  <c r="G20" i="13"/>
  <c r="H20" i="13" s="1"/>
  <c r="J19" i="13"/>
  <c r="I19" i="13"/>
  <c r="G19" i="13"/>
  <c r="H19" i="13" s="1"/>
  <c r="J18" i="13"/>
  <c r="I18" i="13"/>
  <c r="G18" i="13"/>
  <c r="H18" i="13" s="1"/>
  <c r="J17" i="13"/>
  <c r="I17" i="13"/>
  <c r="G17" i="13"/>
  <c r="H17" i="13" s="1"/>
  <c r="J16" i="13"/>
  <c r="I16" i="13"/>
  <c r="G16" i="13"/>
  <c r="H16" i="13" s="1"/>
  <c r="J15" i="13"/>
  <c r="I15" i="13"/>
  <c r="G15" i="13"/>
  <c r="H15" i="13" s="1"/>
  <c r="J14" i="13"/>
  <c r="I14" i="13"/>
  <c r="G14" i="13"/>
  <c r="H14" i="13" s="1"/>
  <c r="J13" i="13"/>
  <c r="I13" i="13"/>
  <c r="G13" i="13"/>
  <c r="H13" i="13" s="1"/>
  <c r="J12" i="13"/>
  <c r="I12" i="13"/>
  <c r="G12" i="13"/>
  <c r="H12" i="13" s="1"/>
  <c r="J11" i="13"/>
  <c r="I11" i="13"/>
  <c r="G11" i="13"/>
  <c r="H11" i="13" s="1"/>
  <c r="J10" i="13"/>
  <c r="I10" i="13"/>
  <c r="G10" i="13"/>
  <c r="H10" i="13" s="1"/>
  <c r="J9" i="13"/>
  <c r="I9" i="13"/>
  <c r="G9" i="13"/>
  <c r="H9" i="13" s="1"/>
  <c r="J8" i="13"/>
  <c r="I8" i="13"/>
  <c r="G8" i="13"/>
  <c r="H8" i="13" s="1"/>
  <c r="J7" i="13"/>
  <c r="I7" i="13"/>
  <c r="G7" i="13"/>
  <c r="H7" i="13" s="1"/>
  <c r="J6" i="13"/>
  <c r="I6" i="13"/>
  <c r="G6" i="13"/>
  <c r="H6" i="13" s="1"/>
  <c r="J5" i="13"/>
  <c r="I5" i="13"/>
  <c r="G5" i="13"/>
  <c r="H5" i="13" s="1"/>
  <c r="J4" i="13"/>
  <c r="I4" i="13"/>
  <c r="G4" i="13"/>
  <c r="H4" i="13" s="1"/>
  <c r="J3" i="13"/>
  <c r="I3" i="13"/>
  <c r="G3" i="13"/>
  <c r="H3" i="13" s="1"/>
  <c r="J2" i="13"/>
  <c r="I2" i="13"/>
  <c r="G2" i="13"/>
  <c r="H2" i="13" s="1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2" i="12"/>
  <c r="G2" i="12"/>
  <c r="J32" i="12"/>
  <c r="I32" i="12"/>
  <c r="G32" i="12"/>
  <c r="J31" i="12"/>
  <c r="I31" i="12"/>
  <c r="G31" i="12"/>
  <c r="J30" i="12"/>
  <c r="I30" i="12"/>
  <c r="G30" i="12"/>
  <c r="J29" i="12"/>
  <c r="I29" i="12"/>
  <c r="G29" i="12"/>
  <c r="J28" i="12"/>
  <c r="I28" i="12"/>
  <c r="G28" i="12"/>
  <c r="J27" i="12"/>
  <c r="I27" i="12"/>
  <c r="G27" i="12"/>
  <c r="J26" i="12"/>
  <c r="I26" i="12"/>
  <c r="G26" i="12"/>
  <c r="J25" i="12"/>
  <c r="I25" i="12"/>
  <c r="G25" i="12"/>
  <c r="J24" i="12"/>
  <c r="I24" i="12"/>
  <c r="G24" i="12"/>
  <c r="J23" i="12"/>
  <c r="I23" i="12"/>
  <c r="G23" i="12"/>
  <c r="J22" i="12"/>
  <c r="I22" i="12"/>
  <c r="G22" i="12"/>
  <c r="J21" i="12"/>
  <c r="I21" i="12"/>
  <c r="G21" i="12"/>
  <c r="J20" i="12"/>
  <c r="I20" i="12"/>
  <c r="G20" i="12"/>
  <c r="J19" i="12"/>
  <c r="I19" i="12"/>
  <c r="G19" i="12"/>
  <c r="J18" i="12"/>
  <c r="I18" i="12"/>
  <c r="G18" i="12"/>
  <c r="J17" i="12"/>
  <c r="I17" i="12"/>
  <c r="G17" i="12"/>
  <c r="J16" i="12"/>
  <c r="I16" i="12"/>
  <c r="G16" i="12"/>
  <c r="J15" i="12"/>
  <c r="I15" i="12"/>
  <c r="G15" i="12"/>
  <c r="J14" i="12"/>
  <c r="I14" i="12"/>
  <c r="G14" i="12"/>
  <c r="J13" i="12"/>
  <c r="I13" i="12"/>
  <c r="G13" i="12"/>
  <c r="J12" i="12"/>
  <c r="I12" i="12"/>
  <c r="G12" i="12"/>
  <c r="J11" i="12"/>
  <c r="I11" i="12"/>
  <c r="G11" i="12"/>
  <c r="J10" i="12"/>
  <c r="I10" i="12"/>
  <c r="G10" i="12"/>
  <c r="J9" i="12"/>
  <c r="I9" i="12"/>
  <c r="G9" i="12"/>
  <c r="J8" i="12"/>
  <c r="I8" i="12"/>
  <c r="G8" i="12"/>
  <c r="J7" i="12"/>
  <c r="I7" i="12"/>
  <c r="G7" i="12"/>
  <c r="J6" i="12"/>
  <c r="I6" i="12"/>
  <c r="G6" i="12"/>
  <c r="J5" i="12"/>
  <c r="I5" i="12"/>
  <c r="G5" i="12"/>
  <c r="J4" i="12"/>
  <c r="I4" i="12"/>
  <c r="G4" i="12"/>
  <c r="J3" i="12"/>
  <c r="I3" i="12"/>
  <c r="G3" i="12"/>
  <c r="J2" i="12"/>
  <c r="I2" i="12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2" i="11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I4" i="10"/>
  <c r="I5" i="10"/>
  <c r="I6" i="10"/>
  <c r="I17" i="10"/>
  <c r="H3" i="10"/>
  <c r="I3" i="10" s="1"/>
  <c r="H4" i="10"/>
  <c r="H5" i="10"/>
  <c r="H6" i="10"/>
  <c r="H7" i="10"/>
  <c r="I7" i="10" s="1"/>
  <c r="H8" i="10"/>
  <c r="I8" i="10" s="1"/>
  <c r="H9" i="10"/>
  <c r="I9" i="10" s="1"/>
  <c r="H10" i="10"/>
  <c r="I10" i="10" s="1"/>
  <c r="H11" i="10"/>
  <c r="I11" i="10" s="1"/>
  <c r="H12" i="10"/>
  <c r="I12" i="10" s="1"/>
  <c r="H13" i="10"/>
  <c r="I13" i="10" s="1"/>
  <c r="H14" i="10"/>
  <c r="I14" i="10" s="1"/>
  <c r="H15" i="10"/>
  <c r="I15" i="10" s="1"/>
  <c r="H16" i="10"/>
  <c r="I16" i="10" s="1"/>
  <c r="H17" i="10"/>
  <c r="H18" i="10"/>
  <c r="I18" i="10" s="1"/>
  <c r="H19" i="10"/>
  <c r="I19" i="10" s="1"/>
  <c r="H20" i="10"/>
  <c r="I20" i="10" s="1"/>
  <c r="H21" i="10"/>
  <c r="I21" i="10" s="1"/>
  <c r="H22" i="10"/>
  <c r="H23" i="10"/>
  <c r="I23" i="10" s="1"/>
  <c r="H24" i="10"/>
  <c r="I24" i="10" s="1"/>
  <c r="H25" i="10"/>
  <c r="I25" i="10" s="1"/>
  <c r="H26" i="10"/>
  <c r="I26" i="10" s="1"/>
  <c r="H27" i="10"/>
  <c r="I27" i="10" s="1"/>
  <c r="H28" i="10"/>
  <c r="I28" i="10" s="1"/>
  <c r="H29" i="10"/>
  <c r="I29" i="10" s="1"/>
  <c r="H30" i="10"/>
  <c r="I30" i="10" s="1"/>
  <c r="H31" i="10"/>
  <c r="I31" i="10" s="1"/>
  <c r="H32" i="10"/>
  <c r="I32" i="10" s="1"/>
  <c r="G2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</calcChain>
</file>

<file path=xl/sharedStrings.xml><?xml version="1.0" encoding="utf-8"?>
<sst xmlns="http://schemas.openxmlformats.org/spreadsheetml/2006/main" count="922" uniqueCount="103">
  <si>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</si>
  <si>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</si>
  <si>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</si>
  <si>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</si>
  <si>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</si>
  <si>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</si>
  <si>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</si>
  <si>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</si>
  <si>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</si>
  <si>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</si>
  <si>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</si>
  <si>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</si>
  <si>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</si>
  <si>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</si>
  <si>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</si>
  <si>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</si>
  <si>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</si>
  <si>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</si>
  <si>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</si>
  <si>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</si>
  <si>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</si>
  <si>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</si>
  <si>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</si>
  <si>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</si>
  <si>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</si>
  <si>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</si>
  <si>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</si>
  <si>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</si>
  <si>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</si>
  <si>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</si>
  <si>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</si>
  <si>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</si>
  <si>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</si>
  <si>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</si>
  <si>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</si>
  <si>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</si>
  <si>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</si>
  <si>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</si>
  <si>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</si>
  <si>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</si>
  <si>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</si>
  <si>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</si>
  <si>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</si>
  <si>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</si>
  <si>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</si>
  <si>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</si>
  <si>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</si>
  <si>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</si>
  <si>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</si>
  <si>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</si>
  <si>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</si>
  <si>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</si>
  <si>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</si>
  <si>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</si>
  <si>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</si>
  <si>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</si>
  <si>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</si>
  <si>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</si>
  <si>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</si>
  <si>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</si>
  <si>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</si>
  <si>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</si>
  <si>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</si>
  <si>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</si>
  <si>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</si>
  <si>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</si>
  <si>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</si>
  <si>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</si>
  <si>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</si>
  <si>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</si>
  <si>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</si>
  <si>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</si>
  <si>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</si>
  <si>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</si>
  <si>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</si>
  <si>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</si>
  <si>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</si>
  <si>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</si>
  <si>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</si>
  <si>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</si>
  <si>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</si>
  <si>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</si>
  <si>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</si>
  <si>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</si>
  <si>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</si>
  <si>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</si>
  <si>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</si>
  <si>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</si>
  <si>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</si>
  <si>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</si>
  <si>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</si>
  <si>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</si>
  <si>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</si>
  <si>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</si>
  <si>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</si>
  <si>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</si>
  <si>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</si>
  <si>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Manufacturing Date</t>
  </si>
  <si>
    <t>Country Code</t>
  </si>
  <si>
    <t>T-Shirt</t>
  </si>
  <si>
    <t>Unknown</t>
  </si>
  <si>
    <t>Price</t>
  </si>
  <si>
    <t>Product Brand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</si>
</sst>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₹&quot;\ #,##0.00"/>
  </numFmts>
  <fonts count="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5" tint="0.39997558519241921"/>
        <bgColor rgb="FF4DD0E1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0" applyFont="1"/>
    <xf numFmtId="0" fontId="4" fillId="0" borderId="0" xfId="0" applyFont="1"/>
    <xf numFmtId="164" fontId="0" fillId="0" borderId="0" xfId="0" applyNumberFormat="1"/>
    <xf numFmtId="0" fontId="6" fillId="0" borderId="0" xfId="0" applyFont="1"/>
    <xf numFmtId="0" fontId="1" fillId="4" borderId="0" xfId="0" applyFont="1" applyFill="1" applyAlignment="1">
      <alignment horizontal="center"/>
    </xf>
    <xf numFmtId="0" fontId="5" fillId="5" borderId="0" xfId="0" applyFont="1" applyFill="1"/>
    <xf numFmtId="14" fontId="0" fillId="0" borderId="0" xfId="0" applyNumberFormat="1"/>
    <xf numFmtId="164" fontId="2" fillId="0" borderId="0" xfId="0" applyNumberFormat="1" applyFont="1"/>
    <xf numFmtId="164" fontId="2" fillId="3" borderId="0" xfId="0" applyNumberFormat="1" applyFont="1" applyFill="1"/>
    <xf numFmtId="164" fontId="1" fillId="4" borderId="0" xfId="0" applyNumberFormat="1" applyFont="1" applyFill="1" applyAlignment="1">
      <alignment horizontal="center"/>
    </xf>
  </cellXfs>
  <cellStyles count="1">
    <cellStyle name="Normal" xfId="0" builtinId="0"/>
  </cellStyles>
  <dxfs count="18">
    <dxf>
      <fill>
        <patternFill>
          <bgColor theme="7" tint="0.3999450666829432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267968C8-6FFD-4C36-ACC1-9EA1FD1885C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workbookViewId="0">
      <selection sqref="A1:XFD1048576"/>
    </sheetView>
  </sheetViews>
  <sheetFormatPr defaultColWidth="12.6640625" defaultRowHeight="15" customHeight="1"/>
  <cols>
    <col min="1" max="6" width="12.6640625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3" t="s">
        <v>53</v>
      </c>
      <c r="B25" s="3" t="s">
        <v>54</v>
      </c>
      <c r="C25" s="3" t="s">
        <v>55</v>
      </c>
      <c r="D25" s="3">
        <v>50</v>
      </c>
      <c r="E25" s="3">
        <v>35</v>
      </c>
      <c r="F25" s="3" t="s">
        <v>56</v>
      </c>
    </row>
    <row r="26" spans="1:6" ht="15.75" customHeight="1">
      <c r="A26" s="2" t="s">
        <v>76</v>
      </c>
      <c r="B26" s="2" t="s">
        <v>77</v>
      </c>
      <c r="C26" s="2" t="s">
        <v>78</v>
      </c>
      <c r="D26" s="2">
        <v>800</v>
      </c>
      <c r="E26" s="2">
        <v>45</v>
      </c>
      <c r="F26" s="2" t="s">
        <v>9</v>
      </c>
    </row>
    <row r="27" spans="1:6" ht="15.75" customHeight="1">
      <c r="A27" s="3" t="s">
        <v>79</v>
      </c>
      <c r="B27" s="3" t="s">
        <v>62</v>
      </c>
      <c r="C27" s="3" t="s">
        <v>80</v>
      </c>
      <c r="D27" s="3"/>
      <c r="E27" s="3">
        <v>25</v>
      </c>
      <c r="F27" s="3" t="s">
        <v>13</v>
      </c>
    </row>
    <row r="28" spans="1:6" ht="15.75" customHeight="1">
      <c r="A28" s="2" t="s">
        <v>81</v>
      </c>
      <c r="B28" s="2" t="s">
        <v>32</v>
      </c>
      <c r="C28" s="2" t="s">
        <v>82</v>
      </c>
      <c r="D28" s="2">
        <v>400</v>
      </c>
      <c r="E28" s="2">
        <v>40</v>
      </c>
      <c r="F28" s="2" t="s">
        <v>17</v>
      </c>
    </row>
    <row r="29" spans="1:6" ht="15.75" customHeight="1">
      <c r="A29" s="3" t="s">
        <v>50</v>
      </c>
      <c r="B29" s="3" t="s">
        <v>51</v>
      </c>
      <c r="C29" s="3" t="s">
        <v>52</v>
      </c>
      <c r="D29" s="3">
        <v>250</v>
      </c>
      <c r="E29" s="3">
        <v>20</v>
      </c>
      <c r="F29" s="3" t="s">
        <v>27</v>
      </c>
    </row>
    <row r="30" spans="1:6" ht="15.75" customHeight="1">
      <c r="A30" s="2" t="s">
        <v>83</v>
      </c>
      <c r="B30" s="2" t="s">
        <v>84</v>
      </c>
      <c r="C30" s="2" t="s">
        <v>85</v>
      </c>
      <c r="D30" s="2">
        <v>60</v>
      </c>
      <c r="E30" s="2">
        <v>30</v>
      </c>
      <c r="F30" s="2" t="s">
        <v>13</v>
      </c>
    </row>
    <row r="31" spans="1:6" ht="15.75" customHeight="1">
      <c r="A31" s="3" t="s">
        <v>86</v>
      </c>
      <c r="B31" s="3" t="s">
        <v>87</v>
      </c>
      <c r="C31" s="3" t="s">
        <v>88</v>
      </c>
      <c r="D31" s="3">
        <v>40</v>
      </c>
      <c r="E31" s="3">
        <v>10</v>
      </c>
      <c r="F31" s="3" t="s">
        <v>17</v>
      </c>
    </row>
    <row r="32" spans="1:6" ht="15.75" customHeight="1">
      <c r="A32" s="2" t="s">
        <v>89</v>
      </c>
      <c r="B32" s="2" t="s">
        <v>74</v>
      </c>
      <c r="C32" s="2" t="s">
        <v>90</v>
      </c>
      <c r="D32" s="2">
        <v>130</v>
      </c>
      <c r="E32" s="2">
        <v>5</v>
      </c>
      <c r="F32" s="2" t="s">
        <v>9</v>
      </c>
    </row>
    <row r="33" spans="1:6" ht="15.75" customHeight="1">
      <c r="A33" s="3" t="s">
        <v>91</v>
      </c>
      <c r="B33" s="3" t="s">
        <v>92</v>
      </c>
      <c r="C33" s="3" t="s">
        <v>93</v>
      </c>
      <c r="D33" s="3">
        <v>50</v>
      </c>
      <c r="E33" s="3">
        <v>50</v>
      </c>
      <c r="F33" s="3" t="s">
        <v>13</v>
      </c>
    </row>
    <row r="34" spans="1:6" ht="15.75" customHeight="1">
      <c r="A34" s="2" t="s">
        <v>41</v>
      </c>
      <c r="B34" s="2" t="s">
        <v>42</v>
      </c>
      <c r="C34" s="2" t="s">
        <v>43</v>
      </c>
      <c r="D34" s="2">
        <v>950</v>
      </c>
      <c r="E34" s="2">
        <v>25</v>
      </c>
      <c r="F34" s="2" t="s">
        <v>9</v>
      </c>
    </row>
    <row r="35" spans="1:6" ht="15.75" customHeight="1">
      <c r="A35" s="3" t="s">
        <v>94</v>
      </c>
      <c r="B35" s="3" t="s">
        <v>95</v>
      </c>
      <c r="C35" s="3" t="s">
        <v>96</v>
      </c>
      <c r="D35" s="3">
        <v>100</v>
      </c>
      <c r="E35" s="3">
        <v>20</v>
      </c>
      <c r="F35" s="3" t="s">
        <v>56</v>
      </c>
    </row>
    <row r="36" spans="1:6" ht="15.75" customHeight="1"/>
    <row r="37" spans="1:6" ht="15.75" customHeight="1"/>
    <row r="38" spans="1:6" ht="15.75" customHeight="1"/>
    <row r="39" spans="1:6" ht="15.75" customHeight="1"/>
    <row r="40" spans="1:6" ht="15.75" customHeight="1"/>
    <row r="41" spans="1:6" ht="15.75" customHeight="1"/>
    <row r="42" spans="1:6" ht="15.75" customHeight="1"/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F1126-1BDF-4737-B935-F7D743CB3025}">
  <sheetPr>
    <outlinePr summaryBelow="0" summaryRight="0"/>
  </sheetPr>
  <dimension ref="A1:P1000"/>
  <sheetViews>
    <sheetView workbookViewId="0"/>
  </sheetViews>
  <sheetFormatPr defaultColWidth="12.6640625" defaultRowHeight="15" customHeight="1"/>
  <cols>
    <col min="1" max="6" width="12.6640625" customWidth="1"/>
  </cols>
  <sheetData>
    <row r="1" spans="1:16" ht="15.75" customHeight="1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27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27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27</v>
      </c>
    </row>
    <row r="17" spans="1:6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</row>
    <row r="18" spans="1:6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27</v>
      </c>
    </row>
    <row r="19" spans="1:6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</row>
    <row r="20" spans="1:6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</row>
    <row r="21" spans="1:6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</row>
    <row r="22" spans="1:6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</row>
    <row r="23" spans="1:6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</row>
    <row r="24" spans="1:6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</row>
    <row r="25" spans="1:6" ht="15.75" customHeight="1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</row>
    <row r="26" spans="1:6" ht="15.75" customHeight="1">
      <c r="A26" s="3" t="s">
        <v>79</v>
      </c>
      <c r="B26" s="3" t="s">
        <v>62</v>
      </c>
      <c r="C26" s="3" t="s">
        <v>80</v>
      </c>
      <c r="D26" s="3"/>
      <c r="E26" s="3">
        <v>25</v>
      </c>
      <c r="F26" s="3" t="s">
        <v>13</v>
      </c>
    </row>
    <row r="27" spans="1:6" ht="15.75" customHeight="1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</row>
    <row r="28" spans="1:6" ht="15.75" customHeight="1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</row>
    <row r="29" spans="1:6" ht="15.75" customHeight="1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</row>
    <row r="30" spans="1:6" ht="15.75" customHeight="1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</row>
    <row r="31" spans="1:6" ht="15.75" customHeight="1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</row>
    <row r="32" spans="1:6" ht="15.75" customHeight="1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8E7F1-C5BB-44E6-A0EE-CD9877E2603F}">
  <sheetPr>
    <outlinePr summaryBelow="0" summaryRight="0"/>
  </sheetPr>
  <dimension ref="A1:P1000"/>
  <sheetViews>
    <sheetView topLeftCell="A7" workbookViewId="0">
      <selection activeCell="H7" sqref="H7"/>
    </sheetView>
  </sheetViews>
  <sheetFormatPr defaultColWidth="12.6640625" defaultRowHeight="15" customHeight="1"/>
  <cols>
    <col min="1" max="6" width="12.6640625" customWidth="1"/>
    <col min="7" max="7" width="13.6640625" bestFit="1" customWidth="1"/>
  </cols>
  <sheetData>
    <row r="1" spans="1:16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8" t="s">
        <v>1</v>
      </c>
      <c r="H1" s="8" t="s">
        <v>5</v>
      </c>
    </row>
    <row r="2" spans="1:16" ht="15.75" customHeight="1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7" t="s">
        <v>9</v>
      </c>
      <c r="G2" t="str">
        <f t="shared" ref="G2:G32" si="0">PROPER(TRIM(B2))</f>
        <v>Laptop</v>
      </c>
      <c r="H2" t="str">
        <f>PROPER(TRIM(F2))</f>
        <v>Electronics</v>
      </c>
    </row>
    <row r="3" spans="1:16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t="str">
        <f t="shared" si="0"/>
        <v>Sneakers</v>
      </c>
      <c r="H3" t="str">
        <f t="shared" ref="H3:H32" si="1">PROPER(TRIM(F3))</f>
        <v>Fashion</v>
      </c>
      <c r="I3" s="4"/>
      <c r="J3" s="2"/>
      <c r="K3" s="2"/>
      <c r="L3" s="2"/>
      <c r="M3" s="2"/>
      <c r="N3" s="2"/>
      <c r="O3" s="2"/>
      <c r="P3" s="2"/>
    </row>
    <row r="4" spans="1:16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t="str">
        <f t="shared" si="0"/>
        <v>Coffee Maker</v>
      </c>
      <c r="H4" t="str">
        <f t="shared" si="1"/>
        <v>Kitchen</v>
      </c>
      <c r="I4" s="2"/>
      <c r="J4" s="5"/>
      <c r="K4" s="2"/>
      <c r="L4" s="2"/>
      <c r="M4" s="2"/>
      <c r="N4" s="2"/>
      <c r="O4" s="2"/>
      <c r="P4" s="2"/>
    </row>
    <row r="5" spans="1:16" ht="15.75" customHeight="1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G5" t="str">
        <f t="shared" si="0"/>
        <v>Smartphone</v>
      </c>
      <c r="H5" t="str">
        <f t="shared" si="1"/>
        <v>Electronics</v>
      </c>
      <c r="I5" s="2"/>
      <c r="J5" s="5"/>
      <c r="K5" s="2"/>
      <c r="L5" s="2"/>
      <c r="M5" s="2"/>
      <c r="N5" s="2"/>
      <c r="O5" s="2"/>
      <c r="P5" s="2"/>
    </row>
    <row r="6" spans="1:16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G6" t="str">
        <f t="shared" si="0"/>
        <v>Backpack</v>
      </c>
      <c r="H6" t="str">
        <f t="shared" si="1"/>
        <v/>
      </c>
    </row>
    <row r="7" spans="1:16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9</v>
      </c>
      <c r="G7" t="str">
        <f t="shared" si="0"/>
        <v>Headphones</v>
      </c>
      <c r="H7" t="str">
        <f t="shared" si="1"/>
        <v>Electronics</v>
      </c>
    </row>
    <row r="8" spans="1:16" ht="15.75" customHeight="1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G8" t="str">
        <f t="shared" si="0"/>
        <v>T-Shirt</v>
      </c>
      <c r="H8" t="str">
        <f t="shared" si="1"/>
        <v>Fashion</v>
      </c>
    </row>
    <row r="9" spans="1:16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t="str">
        <f t="shared" si="0"/>
        <v>Blender</v>
      </c>
      <c r="H9" t="str">
        <f t="shared" si="1"/>
        <v>Kitchen</v>
      </c>
    </row>
    <row r="10" spans="1:16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t="str">
        <f t="shared" si="0"/>
        <v>Tablet</v>
      </c>
      <c r="H10" t="str">
        <f t="shared" si="1"/>
        <v>Electronics</v>
      </c>
    </row>
    <row r="11" spans="1:16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t="str">
        <f t="shared" si="0"/>
        <v>Hiking Boots</v>
      </c>
      <c r="H11" t="str">
        <f t="shared" si="1"/>
        <v>Outdoor</v>
      </c>
    </row>
    <row r="12" spans="1:16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G12" t="str">
        <f t="shared" si="0"/>
        <v>Laptop</v>
      </c>
      <c r="H12" t="str">
        <f t="shared" si="1"/>
        <v>Electronics</v>
      </c>
    </row>
    <row r="13" spans="1:16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G13" t="str">
        <f t="shared" si="0"/>
        <v>Sneakers</v>
      </c>
      <c r="H13" t="str">
        <f t="shared" si="1"/>
        <v/>
      </c>
    </row>
    <row r="14" spans="1:16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G14" t="str">
        <f t="shared" si="0"/>
        <v>Coffee Maker</v>
      </c>
      <c r="H14" t="str">
        <f t="shared" si="1"/>
        <v/>
      </c>
    </row>
    <row r="15" spans="1:16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9</v>
      </c>
      <c r="G15" t="str">
        <f t="shared" si="0"/>
        <v>Smartwatch</v>
      </c>
      <c r="H15" t="str">
        <f t="shared" si="1"/>
        <v>Electronics</v>
      </c>
    </row>
    <row r="16" spans="1:16" ht="15.75" customHeight="1">
      <c r="A16" s="2" t="s">
        <v>50</v>
      </c>
      <c r="B16" s="2" t="s">
        <v>51</v>
      </c>
      <c r="C16" s="2" t="s">
        <v>52</v>
      </c>
      <c r="D16" s="2">
        <v>250</v>
      </c>
      <c r="E16" s="2">
        <v>20</v>
      </c>
      <c r="F16" s="2" t="s">
        <v>9</v>
      </c>
      <c r="G16" t="str">
        <f t="shared" si="0"/>
        <v>Headphones</v>
      </c>
      <c r="H16" t="str">
        <f t="shared" si="1"/>
        <v>Electronics</v>
      </c>
    </row>
    <row r="17" spans="1:8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G17" t="str">
        <f t="shared" si="0"/>
        <v>Laptop Bag</v>
      </c>
      <c r="H17" t="str">
        <f t="shared" si="1"/>
        <v>Accessories</v>
      </c>
    </row>
    <row r="18" spans="1:8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9</v>
      </c>
      <c r="G18" t="str">
        <f t="shared" si="0"/>
        <v>Smartwatch</v>
      </c>
      <c r="H18" t="str">
        <f t="shared" si="1"/>
        <v>Electronics</v>
      </c>
    </row>
    <row r="19" spans="1:8" ht="15.75" customHeight="1">
      <c r="A19" s="3" t="s">
        <v>59</v>
      </c>
      <c r="B19" s="3" t="s">
        <v>7</v>
      </c>
      <c r="C19" s="3" t="s">
        <v>60</v>
      </c>
      <c r="D19" s="3">
        <v>980</v>
      </c>
      <c r="E19" s="3">
        <v>10</v>
      </c>
      <c r="F19" s="3" t="s">
        <v>9</v>
      </c>
      <c r="G19" t="str">
        <f t="shared" si="0"/>
        <v>Laptop</v>
      </c>
      <c r="H19" t="str">
        <f t="shared" si="1"/>
        <v>Electronics</v>
      </c>
    </row>
    <row r="20" spans="1:8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t="str">
        <f t="shared" si="0"/>
        <v>Sunglasses</v>
      </c>
      <c r="H20" t="str">
        <f t="shared" si="1"/>
        <v>Fashion</v>
      </c>
    </row>
    <row r="21" spans="1:8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G21" t="str">
        <f t="shared" si="0"/>
        <v>Camping Tent</v>
      </c>
      <c r="H21" t="str">
        <f t="shared" si="1"/>
        <v>Outdoor</v>
      </c>
    </row>
    <row r="22" spans="1:8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t="str">
        <f t="shared" si="0"/>
        <v>Camera</v>
      </c>
      <c r="H22" t="str">
        <f t="shared" si="1"/>
        <v>Electronics</v>
      </c>
    </row>
    <row r="23" spans="1:8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t="str">
        <f t="shared" si="0"/>
        <v>Microwave</v>
      </c>
      <c r="H23" t="str">
        <f t="shared" si="1"/>
        <v>Kitchen</v>
      </c>
    </row>
    <row r="24" spans="1:8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G24" t="str">
        <f t="shared" si="0"/>
        <v>Fitness Tracker</v>
      </c>
      <c r="H24" t="str">
        <f t="shared" si="1"/>
        <v/>
      </c>
    </row>
    <row r="25" spans="1:8" ht="15.75" customHeight="1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t="str">
        <f t="shared" si="0"/>
        <v>Smartphone</v>
      </c>
      <c r="H25" t="str">
        <f t="shared" si="1"/>
        <v>Electronics</v>
      </c>
    </row>
    <row r="26" spans="1:8" ht="15.75" customHeight="1">
      <c r="A26" s="3" t="s">
        <v>79</v>
      </c>
      <c r="B26" s="3" t="s">
        <v>62</v>
      </c>
      <c r="C26" s="3" t="s">
        <v>80</v>
      </c>
      <c r="D26" s="3"/>
      <c r="E26" s="3">
        <v>25</v>
      </c>
      <c r="F26" s="3" t="s">
        <v>13</v>
      </c>
      <c r="G26" t="str">
        <f t="shared" si="0"/>
        <v>Sunglasses</v>
      </c>
      <c r="H26" t="str">
        <f t="shared" si="1"/>
        <v>Fashion</v>
      </c>
    </row>
    <row r="27" spans="1:8" ht="15.75" customHeight="1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t="str">
        <f t="shared" si="0"/>
        <v>Blender</v>
      </c>
      <c r="H27" t="str">
        <f t="shared" si="1"/>
        <v>Kitchen</v>
      </c>
    </row>
    <row r="28" spans="1:8" ht="15.75" customHeight="1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t="str">
        <f t="shared" si="0"/>
        <v>Dress</v>
      </c>
      <c r="H28" t="str">
        <f t="shared" si="1"/>
        <v>Fashion</v>
      </c>
    </row>
    <row r="29" spans="1:8" ht="15.75" customHeight="1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t="str">
        <f t="shared" si="0"/>
        <v>Toaster</v>
      </c>
      <c r="H29" t="str">
        <f t="shared" si="1"/>
        <v>Kitchen</v>
      </c>
    </row>
    <row r="30" spans="1:8" ht="15.75" customHeight="1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t="str">
        <f t="shared" si="0"/>
        <v>Fitness Tracker</v>
      </c>
      <c r="H30" t="str">
        <f t="shared" si="1"/>
        <v>Electronics</v>
      </c>
    </row>
    <row r="31" spans="1:8" ht="15.75" customHeight="1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t="str">
        <f t="shared" si="0"/>
        <v>Jeans</v>
      </c>
      <c r="H31" t="str">
        <f t="shared" si="1"/>
        <v>Fashion</v>
      </c>
    </row>
    <row r="32" spans="1:8" ht="15.75" customHeight="1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t="str">
        <f t="shared" si="0"/>
        <v>Watch</v>
      </c>
      <c r="H32" t="str">
        <f t="shared" si="1"/>
        <v>Accessories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B1EB-FF59-4C3C-AD1C-C2DEB99965DD}">
  <sheetPr>
    <outlinePr summaryBelow="0" summaryRight="0"/>
  </sheetPr>
  <dimension ref="A1:O1000"/>
  <sheetViews>
    <sheetView workbookViewId="0">
      <selection activeCell="I22" sqref="I22"/>
    </sheetView>
  </sheetViews>
  <sheetFormatPr defaultColWidth="12.6640625" defaultRowHeight="15" customHeight="1"/>
  <cols>
    <col min="1" max="9" width="12.6640625" customWidth="1"/>
  </cols>
  <sheetData>
    <row r="1" spans="1:1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5</v>
      </c>
      <c r="H1" s="9" t="s">
        <v>101</v>
      </c>
      <c r="I1" s="9" t="s">
        <v>101</v>
      </c>
    </row>
    <row r="2" spans="1:15" ht="15.75" customHeight="1">
      <c r="A2" s="2" t="s">
        <v>6</v>
      </c>
      <c r="B2" s="2" t="s">
        <v>42</v>
      </c>
      <c r="C2" s="2" t="s">
        <v>8</v>
      </c>
      <c r="D2" s="2">
        <v>1000</v>
      </c>
      <c r="E2" s="2">
        <v>30</v>
      </c>
      <c r="F2" s="7" t="s">
        <v>9</v>
      </c>
      <c r="G2" s="7" t="str">
        <f>IF(ISBLANK(F2),"Unknown",F2)</f>
        <v>Electronics</v>
      </c>
      <c r="H2" s="2">
        <f>IF(ISBLANK(D2),AVERAGEIF($B$2:$B$32,B2,$D$2:$D$32),D2)</f>
        <v>1000</v>
      </c>
      <c r="I2">
        <f>IFERROR(H2,AVERAGEIF($G$2:$G$32,G2,$D$2:$D$32))</f>
        <v>1000</v>
      </c>
    </row>
    <row r="3" spans="1:15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s="7" t="str">
        <f t="shared" ref="G3:G32" si="0">IF(ISBLANK(F3),"Unknown",F3)</f>
        <v>Fashion</v>
      </c>
      <c r="H3" s="2">
        <f t="shared" ref="H3:H32" si="1">IF(ISBLANK(D3),AVERAGEIF($B$2:$B$32,B3,$D$2:$D$32),D3)</f>
        <v>80</v>
      </c>
      <c r="I3">
        <f t="shared" ref="I3:I32" si="2">IFERROR(H3,AVERAGEIF($F$2:$F$32,F3,$D$2:$D$32))</f>
        <v>80</v>
      </c>
      <c r="J3" s="2"/>
      <c r="K3" s="2"/>
      <c r="L3" s="2"/>
      <c r="M3" s="2"/>
      <c r="N3" s="2"/>
      <c r="O3" s="2"/>
    </row>
    <row r="4" spans="1:15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s="7" t="str">
        <f t="shared" si="0"/>
        <v>Kitchen</v>
      </c>
      <c r="H4" s="2">
        <f t="shared" si="1"/>
        <v>130</v>
      </c>
      <c r="I4">
        <f t="shared" si="2"/>
        <v>130</v>
      </c>
      <c r="J4" s="2"/>
      <c r="K4" s="2"/>
      <c r="L4" s="2"/>
      <c r="M4" s="2"/>
      <c r="N4" s="2"/>
      <c r="O4" s="2"/>
    </row>
    <row r="5" spans="1:15" ht="15.75" customHeight="1">
      <c r="A5" s="3" t="s">
        <v>18</v>
      </c>
      <c r="B5" s="3" t="s">
        <v>77</v>
      </c>
      <c r="C5" s="3" t="s">
        <v>20</v>
      </c>
      <c r="D5" s="3">
        <v>900</v>
      </c>
      <c r="E5" s="3">
        <v>25</v>
      </c>
      <c r="F5" s="3" t="s">
        <v>9</v>
      </c>
      <c r="G5" s="7" t="str">
        <f t="shared" si="0"/>
        <v>Electronics</v>
      </c>
      <c r="H5" s="2">
        <f t="shared" si="1"/>
        <v>900</v>
      </c>
      <c r="I5">
        <f t="shared" si="2"/>
        <v>900</v>
      </c>
      <c r="J5" s="2"/>
      <c r="K5" s="2"/>
      <c r="L5" s="2"/>
      <c r="M5" s="2"/>
      <c r="N5" s="2"/>
      <c r="O5" s="2"/>
    </row>
    <row r="6" spans="1:15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/>
      <c r="G6" s="7" t="str">
        <f t="shared" si="0"/>
        <v>Unknown</v>
      </c>
      <c r="H6" s="2">
        <f t="shared" si="1"/>
        <v>70</v>
      </c>
      <c r="I6">
        <f t="shared" si="2"/>
        <v>70</v>
      </c>
    </row>
    <row r="7" spans="1:15" ht="15.75" customHeight="1">
      <c r="A7" s="3" t="s">
        <v>24</v>
      </c>
      <c r="B7" s="3" t="s">
        <v>25</v>
      </c>
      <c r="C7" s="3" t="s">
        <v>26</v>
      </c>
      <c r="D7" s="3"/>
      <c r="E7" s="3">
        <v>45</v>
      </c>
      <c r="F7" s="3" t="s">
        <v>9</v>
      </c>
      <c r="G7" s="7" t="str">
        <f t="shared" si="0"/>
        <v>Electronics</v>
      </c>
      <c r="H7" s="2">
        <f t="shared" si="1"/>
        <v>250</v>
      </c>
      <c r="I7">
        <f t="shared" si="2"/>
        <v>250</v>
      </c>
    </row>
    <row r="8" spans="1:15" ht="15.75" customHeight="1">
      <c r="A8" s="2" t="s">
        <v>28</v>
      </c>
      <c r="B8" s="2" t="s">
        <v>99</v>
      </c>
      <c r="C8" s="2" t="s">
        <v>30</v>
      </c>
      <c r="D8" s="2">
        <v>30</v>
      </c>
      <c r="E8" s="2">
        <v>5</v>
      </c>
      <c r="F8" s="2" t="s">
        <v>13</v>
      </c>
      <c r="G8" s="7" t="str">
        <f t="shared" si="0"/>
        <v>Fashion</v>
      </c>
      <c r="H8" s="2">
        <f t="shared" si="1"/>
        <v>30</v>
      </c>
      <c r="I8">
        <f t="shared" si="2"/>
        <v>30</v>
      </c>
    </row>
    <row r="9" spans="1:15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s="7" t="str">
        <f t="shared" si="0"/>
        <v>Kitchen</v>
      </c>
      <c r="H9" s="2">
        <f t="shared" si="1"/>
        <v>90</v>
      </c>
      <c r="I9">
        <f t="shared" si="2"/>
        <v>90</v>
      </c>
    </row>
    <row r="10" spans="1:15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s="7" t="str">
        <f t="shared" si="0"/>
        <v>Electronics</v>
      </c>
      <c r="H10" s="2">
        <f t="shared" si="1"/>
        <v>500</v>
      </c>
      <c r="I10">
        <f t="shared" si="2"/>
        <v>500</v>
      </c>
    </row>
    <row r="11" spans="1:15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s="7" t="str">
        <f t="shared" si="0"/>
        <v>Outdoor</v>
      </c>
      <c r="H11" s="2">
        <f t="shared" si="1"/>
        <v>130</v>
      </c>
      <c r="I11">
        <f t="shared" si="2"/>
        <v>130</v>
      </c>
    </row>
    <row r="12" spans="1:15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G12" s="7" t="str">
        <f t="shared" si="0"/>
        <v>Electronics</v>
      </c>
      <c r="H12" s="2">
        <f t="shared" si="1"/>
        <v>950</v>
      </c>
      <c r="I12">
        <f t="shared" si="2"/>
        <v>950</v>
      </c>
    </row>
    <row r="13" spans="1:15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/>
      <c r="G13" s="7" t="str">
        <f t="shared" si="0"/>
        <v>Unknown</v>
      </c>
      <c r="H13" s="2">
        <f t="shared" si="1"/>
        <v>90</v>
      </c>
      <c r="I13">
        <f t="shared" si="2"/>
        <v>90</v>
      </c>
    </row>
    <row r="14" spans="1:15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/>
      <c r="G14" s="7" t="str">
        <f t="shared" si="0"/>
        <v>Unknown</v>
      </c>
      <c r="H14" s="2">
        <f t="shared" si="1"/>
        <v>120</v>
      </c>
      <c r="I14">
        <f t="shared" si="2"/>
        <v>120</v>
      </c>
    </row>
    <row r="15" spans="1:15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9</v>
      </c>
      <c r="G15" s="7" t="str">
        <f t="shared" si="0"/>
        <v>Electronics</v>
      </c>
      <c r="H15" s="2">
        <f t="shared" si="1"/>
        <v>150</v>
      </c>
      <c r="I15">
        <f t="shared" si="2"/>
        <v>150</v>
      </c>
    </row>
    <row r="16" spans="1:15" ht="15.75" customHeight="1">
      <c r="A16" s="2" t="s">
        <v>50</v>
      </c>
      <c r="B16" s="2" t="s">
        <v>25</v>
      </c>
      <c r="C16" s="2" t="s">
        <v>52</v>
      </c>
      <c r="D16" s="2">
        <v>250</v>
      </c>
      <c r="E16" s="2">
        <v>20</v>
      </c>
      <c r="F16" s="2" t="s">
        <v>9</v>
      </c>
      <c r="G16" s="7" t="str">
        <f t="shared" si="0"/>
        <v>Electronics</v>
      </c>
      <c r="H16" s="2">
        <f t="shared" si="1"/>
        <v>250</v>
      </c>
      <c r="I16">
        <f t="shared" si="2"/>
        <v>250</v>
      </c>
    </row>
    <row r="17" spans="1:9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G17" s="7" t="str">
        <f t="shared" si="0"/>
        <v>Accessories</v>
      </c>
      <c r="H17" s="2">
        <f t="shared" si="1"/>
        <v>50</v>
      </c>
      <c r="I17">
        <f t="shared" si="2"/>
        <v>50</v>
      </c>
    </row>
    <row r="18" spans="1:9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9</v>
      </c>
      <c r="G18" s="7" t="str">
        <f t="shared" si="0"/>
        <v>Electronics</v>
      </c>
      <c r="H18" s="2">
        <f t="shared" si="1"/>
        <v>160</v>
      </c>
      <c r="I18">
        <f t="shared" si="2"/>
        <v>160</v>
      </c>
    </row>
    <row r="19" spans="1:9" ht="15.75" customHeight="1">
      <c r="A19" s="3" t="s">
        <v>59</v>
      </c>
      <c r="B19" s="3" t="s">
        <v>42</v>
      </c>
      <c r="C19" s="3" t="s">
        <v>60</v>
      </c>
      <c r="D19" s="3">
        <v>980</v>
      </c>
      <c r="E19" s="3">
        <v>10</v>
      </c>
      <c r="F19" s="3" t="s">
        <v>9</v>
      </c>
      <c r="G19" s="7" t="str">
        <f t="shared" si="0"/>
        <v>Electronics</v>
      </c>
      <c r="H19" s="2">
        <f t="shared" si="1"/>
        <v>980</v>
      </c>
      <c r="I19">
        <f t="shared" si="2"/>
        <v>980</v>
      </c>
    </row>
    <row r="20" spans="1:9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s="7" t="str">
        <f t="shared" si="0"/>
        <v>Fashion</v>
      </c>
      <c r="H20" s="2">
        <f t="shared" si="1"/>
        <v>150</v>
      </c>
      <c r="I20">
        <f t="shared" si="2"/>
        <v>150</v>
      </c>
    </row>
    <row r="21" spans="1:9" ht="15.75" customHeight="1">
      <c r="A21" s="3" t="s">
        <v>64</v>
      </c>
      <c r="B21" s="3" t="s">
        <v>65</v>
      </c>
      <c r="C21" s="3" t="s">
        <v>66</v>
      </c>
      <c r="D21" s="3"/>
      <c r="E21" s="3">
        <v>10</v>
      </c>
      <c r="F21" s="3" t="s">
        <v>40</v>
      </c>
      <c r="G21" s="7" t="str">
        <f t="shared" si="0"/>
        <v>Outdoor</v>
      </c>
      <c r="H21" s="2" t="e">
        <f t="shared" si="1"/>
        <v>#DIV/0!</v>
      </c>
      <c r="I21">
        <f t="shared" si="2"/>
        <v>130</v>
      </c>
    </row>
    <row r="22" spans="1:9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s="7" t="str">
        <f t="shared" si="0"/>
        <v>Electronics</v>
      </c>
      <c r="H22" s="2">
        <f t="shared" si="1"/>
        <v>700</v>
      </c>
      <c r="I22">
        <f t="shared" si="2"/>
        <v>700</v>
      </c>
    </row>
    <row r="23" spans="1:9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s="7" t="str">
        <f t="shared" si="0"/>
        <v>Kitchen</v>
      </c>
      <c r="H23" s="2">
        <f t="shared" si="1"/>
        <v>80</v>
      </c>
      <c r="I23">
        <f t="shared" si="2"/>
        <v>80</v>
      </c>
    </row>
    <row r="24" spans="1:9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/>
      <c r="G24" s="7" t="str">
        <f t="shared" si="0"/>
        <v>Unknown</v>
      </c>
      <c r="H24" s="2">
        <f t="shared" si="1"/>
        <v>150</v>
      </c>
      <c r="I24">
        <f t="shared" si="2"/>
        <v>150</v>
      </c>
    </row>
    <row r="25" spans="1:9" ht="15.75" customHeight="1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s="7" t="str">
        <f t="shared" si="0"/>
        <v>Electronics</v>
      </c>
      <c r="H25" s="2">
        <f t="shared" si="1"/>
        <v>800</v>
      </c>
      <c r="I25">
        <f t="shared" si="2"/>
        <v>800</v>
      </c>
    </row>
    <row r="26" spans="1:9" ht="15.75" customHeight="1">
      <c r="A26" s="3" t="s">
        <v>79</v>
      </c>
      <c r="B26" s="3" t="s">
        <v>62</v>
      </c>
      <c r="C26" s="3" t="s">
        <v>80</v>
      </c>
      <c r="D26" s="3"/>
      <c r="E26" s="3">
        <v>25</v>
      </c>
      <c r="F26" s="3" t="s">
        <v>13</v>
      </c>
      <c r="G26" s="7" t="str">
        <f t="shared" si="0"/>
        <v>Fashion</v>
      </c>
      <c r="H26" s="2">
        <f t="shared" si="1"/>
        <v>150</v>
      </c>
      <c r="I26">
        <f t="shared" si="2"/>
        <v>150</v>
      </c>
    </row>
    <row r="27" spans="1:9" ht="15.75" customHeight="1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s="7" t="str">
        <f t="shared" si="0"/>
        <v>Kitchen</v>
      </c>
      <c r="H27" s="2">
        <f t="shared" si="1"/>
        <v>400</v>
      </c>
      <c r="I27">
        <f t="shared" si="2"/>
        <v>400</v>
      </c>
    </row>
    <row r="28" spans="1:9" ht="15.75" customHeight="1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s="7" t="str">
        <f t="shared" si="0"/>
        <v>Fashion</v>
      </c>
      <c r="H28" s="2">
        <f t="shared" si="1"/>
        <v>60</v>
      </c>
      <c r="I28">
        <f t="shared" si="2"/>
        <v>60</v>
      </c>
    </row>
    <row r="29" spans="1:9" ht="15.75" customHeight="1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s="7" t="str">
        <f t="shared" si="0"/>
        <v>Kitchen</v>
      </c>
      <c r="H29" s="2">
        <f t="shared" si="1"/>
        <v>40</v>
      </c>
      <c r="I29">
        <f t="shared" si="2"/>
        <v>40</v>
      </c>
    </row>
    <row r="30" spans="1:9" ht="15.75" customHeight="1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s="7" t="str">
        <f t="shared" si="0"/>
        <v>Electronics</v>
      </c>
      <c r="H30" s="2">
        <f t="shared" si="1"/>
        <v>130</v>
      </c>
      <c r="I30">
        <f t="shared" si="2"/>
        <v>130</v>
      </c>
    </row>
    <row r="31" spans="1:9" ht="15.75" customHeight="1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s="7" t="str">
        <f t="shared" si="0"/>
        <v>Fashion</v>
      </c>
      <c r="H31" s="2">
        <f t="shared" si="1"/>
        <v>50</v>
      </c>
      <c r="I31">
        <f t="shared" si="2"/>
        <v>50</v>
      </c>
    </row>
    <row r="32" spans="1:9" ht="15.75" customHeight="1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s="7" t="str">
        <f t="shared" si="0"/>
        <v>Accessories</v>
      </c>
      <c r="H32" s="2">
        <f t="shared" si="1"/>
        <v>100</v>
      </c>
      <c r="I32">
        <f t="shared" si="2"/>
        <v>100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6880-1593-47E0-ADFC-04314727DD38}">
  <sheetPr>
    <outlinePr summaryBelow="0" summaryRight="0"/>
  </sheetPr>
  <dimension ref="A1:L1000"/>
  <sheetViews>
    <sheetView workbookViewId="0">
      <selection activeCell="G27" sqref="G27"/>
    </sheetView>
  </sheetViews>
  <sheetFormatPr defaultColWidth="12.6640625" defaultRowHeight="15" customHeight="1"/>
  <cols>
    <col min="1" max="1" width="10.77734375" bestFit="1" customWidth="1"/>
    <col min="2" max="2" width="13.6640625" bestFit="1" customWidth="1"/>
    <col min="3" max="3" width="11.77734375" bestFit="1" customWidth="1"/>
    <col min="4" max="4" width="5.44140625" bestFit="1" customWidth="1"/>
    <col min="5" max="5" width="8.44140625" bestFit="1" customWidth="1"/>
    <col min="6" max="6" width="11" bestFit="1" customWidth="1"/>
    <col min="7" max="7" width="18.21875" bestFit="1" customWidth="1"/>
    <col min="8" max="8" width="13.33203125" bestFit="1" customWidth="1"/>
    <col min="9" max="9" width="21.44140625" bestFit="1" customWidth="1"/>
  </cols>
  <sheetData>
    <row r="1" spans="1:12" ht="15.75" customHeight="1">
      <c r="A1" s="1" t="s">
        <v>0</v>
      </c>
      <c r="B1" s="1" t="s">
        <v>1</v>
      </c>
      <c r="C1" s="1" t="s">
        <v>2</v>
      </c>
      <c r="D1" s="1" t="s">
        <v>101</v>
      </c>
      <c r="E1" s="1" t="s">
        <v>4</v>
      </c>
      <c r="F1" s="1" t="s">
        <v>5</v>
      </c>
      <c r="G1" s="9" t="s">
        <v>97</v>
      </c>
      <c r="H1" s="9" t="s">
        <v>98</v>
      </c>
      <c r="I1" s="9" t="s">
        <v>102</v>
      </c>
    </row>
    <row r="2" spans="1:12" ht="15.75" customHeight="1">
      <c r="A2" s="2" t="s">
        <v>6</v>
      </c>
      <c r="B2" s="2" t="s">
        <v>42</v>
      </c>
      <c r="C2" s="2" t="s">
        <v>8</v>
      </c>
      <c r="D2" s="2">
        <v>1000</v>
      </c>
      <c r="E2" s="2">
        <v>30</v>
      </c>
      <c r="F2" s="7" t="s">
        <v>9</v>
      </c>
      <c r="G2" t="str">
        <f>LEFT(A2,6)</f>
        <v>28-JAN</v>
      </c>
      <c r="H2" t="str">
        <f>RIGHT(A2,2)</f>
        <v>US</v>
      </c>
      <c r="I2" t="str">
        <f>B2&amp; " " &amp; C2</f>
        <v>Laptop Dell</v>
      </c>
    </row>
    <row r="3" spans="1:12" ht="15.75" customHeight="1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  <c r="G3" t="str">
        <f t="shared" ref="G3:G32" si="0">LEFT(A3,6)</f>
        <v>15-FEB</v>
      </c>
      <c r="H3" t="str">
        <f t="shared" ref="H3:H32" si="1">RIGHT(A3,2)</f>
        <v>US</v>
      </c>
      <c r="I3" t="str">
        <f t="shared" ref="I3:I32" si="2">B3&amp; " " &amp; C3</f>
        <v>Sneakers Nike</v>
      </c>
      <c r="J3" s="2"/>
      <c r="K3" s="2"/>
      <c r="L3" s="2"/>
    </row>
    <row r="4" spans="1:12" ht="15.75" customHeight="1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G4" t="str">
        <f t="shared" si="0"/>
        <v>03-MAR</v>
      </c>
      <c r="H4" t="str">
        <f t="shared" si="1"/>
        <v>US</v>
      </c>
      <c r="I4" t="str">
        <f t="shared" si="2"/>
        <v>Coffee Maker Keurig</v>
      </c>
      <c r="J4" s="2"/>
      <c r="K4" s="2"/>
      <c r="L4" s="2"/>
    </row>
    <row r="5" spans="1:12" ht="15.75" customHeight="1">
      <c r="A5" s="3" t="s">
        <v>18</v>
      </c>
      <c r="B5" s="3" t="s">
        <v>77</v>
      </c>
      <c r="C5" s="3" t="s">
        <v>20</v>
      </c>
      <c r="D5" s="3">
        <v>900</v>
      </c>
      <c r="E5" s="3">
        <v>25</v>
      </c>
      <c r="F5" s="3" t="s">
        <v>9</v>
      </c>
      <c r="G5" t="str">
        <f t="shared" si="0"/>
        <v>11-APR</v>
      </c>
      <c r="H5" t="str">
        <f t="shared" si="1"/>
        <v>US</v>
      </c>
      <c r="I5" t="str">
        <f t="shared" si="2"/>
        <v>Smartphone Samsung</v>
      </c>
      <c r="J5" s="2"/>
      <c r="K5" s="2"/>
      <c r="L5" s="2"/>
    </row>
    <row r="6" spans="1:12" ht="15.75" customHeight="1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100</v>
      </c>
      <c r="G6" t="str">
        <f t="shared" si="0"/>
        <v>22-MAY</v>
      </c>
      <c r="H6" t="str">
        <f t="shared" si="1"/>
        <v>US</v>
      </c>
      <c r="I6" t="str">
        <f t="shared" si="2"/>
        <v>Backpack North Face</v>
      </c>
    </row>
    <row r="7" spans="1:12" ht="15.75" customHeight="1">
      <c r="A7" s="3" t="s">
        <v>24</v>
      </c>
      <c r="B7" s="3" t="s">
        <v>25</v>
      </c>
      <c r="C7" s="3" t="s">
        <v>26</v>
      </c>
      <c r="D7" s="3">
        <v>250</v>
      </c>
      <c r="E7" s="3">
        <v>45</v>
      </c>
      <c r="F7" s="3" t="s">
        <v>9</v>
      </c>
      <c r="G7" t="str">
        <f t="shared" si="0"/>
        <v>07-JUN</v>
      </c>
      <c r="H7" t="str">
        <f t="shared" si="1"/>
        <v>UK</v>
      </c>
      <c r="I7" t="str">
        <f t="shared" si="2"/>
        <v>Headphones Sony</v>
      </c>
    </row>
    <row r="8" spans="1:12" ht="15.75" customHeight="1">
      <c r="A8" s="2" t="s">
        <v>28</v>
      </c>
      <c r="B8" s="2" t="s">
        <v>99</v>
      </c>
      <c r="C8" s="2" t="s">
        <v>30</v>
      </c>
      <c r="D8" s="2">
        <v>30</v>
      </c>
      <c r="E8" s="2">
        <v>5</v>
      </c>
      <c r="F8" s="2" t="s">
        <v>13</v>
      </c>
      <c r="G8" t="str">
        <f t="shared" si="0"/>
        <v>19-JUL</v>
      </c>
      <c r="H8" t="str">
        <f t="shared" si="1"/>
        <v>UK</v>
      </c>
      <c r="I8" t="str">
        <f t="shared" si="2"/>
        <v>T-Shirt Adidas</v>
      </c>
    </row>
    <row r="9" spans="1:12" ht="15.75" customHeight="1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G9" t="str">
        <f t="shared" si="0"/>
        <v>23-AUG</v>
      </c>
      <c r="H9" t="str">
        <f t="shared" si="1"/>
        <v>UK</v>
      </c>
      <c r="I9" t="str">
        <f t="shared" si="2"/>
        <v>Blender Ninja</v>
      </c>
    </row>
    <row r="10" spans="1:12" ht="15.75" customHeight="1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G10" t="str">
        <f t="shared" si="0"/>
        <v>05-SEP</v>
      </c>
      <c r="H10" t="str">
        <f t="shared" si="1"/>
        <v>UK</v>
      </c>
      <c r="I10" t="str">
        <f t="shared" si="2"/>
        <v>Tablet Apple</v>
      </c>
    </row>
    <row r="11" spans="1:12" ht="15.75" customHeight="1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40</v>
      </c>
      <c r="G11" t="str">
        <f t="shared" si="0"/>
        <v>14-OCT</v>
      </c>
      <c r="H11" t="str">
        <f t="shared" si="1"/>
        <v>UK</v>
      </c>
      <c r="I11" t="str">
        <f t="shared" si="2"/>
        <v>Hiking Boots Timberland</v>
      </c>
    </row>
    <row r="12" spans="1:12" ht="15.75" customHeight="1">
      <c r="A12" s="2" t="s">
        <v>41</v>
      </c>
      <c r="B12" s="2" t="s">
        <v>42</v>
      </c>
      <c r="C12" s="2" t="s">
        <v>43</v>
      </c>
      <c r="D12" s="2">
        <v>950</v>
      </c>
      <c r="E12" s="2">
        <v>25</v>
      </c>
      <c r="F12" s="2" t="s">
        <v>9</v>
      </c>
      <c r="G12" t="str">
        <f t="shared" si="0"/>
        <v>17-JUN</v>
      </c>
      <c r="H12" t="str">
        <f t="shared" si="1"/>
        <v>IN</v>
      </c>
      <c r="I12" t="str">
        <f t="shared" si="2"/>
        <v>Laptop HP</v>
      </c>
    </row>
    <row r="13" spans="1:12" ht="15.75" customHeight="1">
      <c r="A13" s="3" t="s">
        <v>44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100</v>
      </c>
      <c r="G13" t="str">
        <f t="shared" si="0"/>
        <v>25-NOV</v>
      </c>
      <c r="H13" t="str">
        <f t="shared" si="1"/>
        <v>AU</v>
      </c>
      <c r="I13" t="str">
        <f t="shared" si="2"/>
        <v>Sneakers Adidas</v>
      </c>
    </row>
    <row r="14" spans="1:12" ht="15.75" customHeight="1">
      <c r="A14" s="2" t="s">
        <v>45</v>
      </c>
      <c r="B14" s="2" t="s">
        <v>15</v>
      </c>
      <c r="C14" s="2" t="s">
        <v>46</v>
      </c>
      <c r="D14" s="2">
        <v>120</v>
      </c>
      <c r="E14" s="2">
        <v>35</v>
      </c>
      <c r="F14" s="2" t="s">
        <v>100</v>
      </c>
      <c r="G14" t="str">
        <f t="shared" si="0"/>
        <v>08-DEC</v>
      </c>
      <c r="H14" t="str">
        <f t="shared" si="1"/>
        <v>DE</v>
      </c>
      <c r="I14" t="str">
        <f t="shared" si="2"/>
        <v>Coffee Maker Nespresso</v>
      </c>
    </row>
    <row r="15" spans="1:12" ht="15.75" customHeight="1">
      <c r="A15" s="3" t="s">
        <v>47</v>
      </c>
      <c r="B15" s="3" t="s">
        <v>48</v>
      </c>
      <c r="C15" s="3" t="s">
        <v>49</v>
      </c>
      <c r="D15" s="3">
        <v>150</v>
      </c>
      <c r="E15" s="3">
        <v>15</v>
      </c>
      <c r="F15" s="3" t="s">
        <v>9</v>
      </c>
      <c r="G15" t="str">
        <f t="shared" si="0"/>
        <v>18-FEB</v>
      </c>
      <c r="H15" t="str">
        <f t="shared" si="1"/>
        <v>CA</v>
      </c>
      <c r="I15" t="str">
        <f t="shared" si="2"/>
        <v>Smartwatch Fitbit</v>
      </c>
    </row>
    <row r="16" spans="1:12" ht="15.75" customHeight="1">
      <c r="A16" s="2" t="s">
        <v>50</v>
      </c>
      <c r="B16" s="2" t="s">
        <v>25</v>
      </c>
      <c r="C16" s="2" t="s">
        <v>52</v>
      </c>
      <c r="D16" s="2">
        <v>250</v>
      </c>
      <c r="E16" s="2">
        <v>20</v>
      </c>
      <c r="F16" s="2" t="s">
        <v>9</v>
      </c>
      <c r="G16" t="str">
        <f t="shared" si="0"/>
        <v>16-APR</v>
      </c>
      <c r="H16" t="str">
        <f t="shared" si="1"/>
        <v>ES</v>
      </c>
      <c r="I16" t="str">
        <f t="shared" si="2"/>
        <v>Headphones Bose</v>
      </c>
    </row>
    <row r="17" spans="1:9" ht="15.75" customHeight="1">
      <c r="A17" s="3" t="s">
        <v>53</v>
      </c>
      <c r="B17" s="3" t="s">
        <v>54</v>
      </c>
      <c r="C17" s="3" t="s">
        <v>55</v>
      </c>
      <c r="D17" s="3">
        <v>50</v>
      </c>
      <c r="E17" s="3">
        <v>35</v>
      </c>
      <c r="F17" s="3" t="s">
        <v>56</v>
      </c>
      <c r="G17" t="str">
        <f t="shared" si="0"/>
        <v>21-AUG</v>
      </c>
      <c r="H17" t="str">
        <f t="shared" si="1"/>
        <v>CA</v>
      </c>
      <c r="I17" t="str">
        <f t="shared" si="2"/>
        <v>Laptop Bag Samsonite</v>
      </c>
    </row>
    <row r="18" spans="1:9" ht="15.75" customHeight="1">
      <c r="A18" s="2" t="s">
        <v>57</v>
      </c>
      <c r="B18" s="2" t="s">
        <v>48</v>
      </c>
      <c r="C18" s="2" t="s">
        <v>58</v>
      </c>
      <c r="D18" s="2">
        <v>160</v>
      </c>
      <c r="E18" s="2">
        <v>15</v>
      </c>
      <c r="F18" s="2" t="s">
        <v>9</v>
      </c>
      <c r="G18" t="str">
        <f t="shared" si="0"/>
        <v>20-AUG</v>
      </c>
      <c r="H18" t="str">
        <f t="shared" si="1"/>
        <v>CN</v>
      </c>
      <c r="I18" t="str">
        <f t="shared" si="2"/>
        <v>Smartwatch Huawei</v>
      </c>
    </row>
    <row r="19" spans="1:9" ht="15.75" customHeight="1">
      <c r="A19" s="3" t="s">
        <v>59</v>
      </c>
      <c r="B19" s="3" t="s">
        <v>42</v>
      </c>
      <c r="C19" s="3" t="s">
        <v>60</v>
      </c>
      <c r="D19" s="3">
        <v>980</v>
      </c>
      <c r="E19" s="3">
        <v>10</v>
      </c>
      <c r="F19" s="3" t="s">
        <v>9</v>
      </c>
      <c r="G19" t="str">
        <f t="shared" si="0"/>
        <v>27-JAN</v>
      </c>
      <c r="H19" t="str">
        <f t="shared" si="1"/>
        <v>IT</v>
      </c>
      <c r="I19" t="str">
        <f t="shared" si="2"/>
        <v>Laptop Asus</v>
      </c>
    </row>
    <row r="20" spans="1:9" ht="15.75" customHeight="1">
      <c r="A20" s="2" t="s">
        <v>61</v>
      </c>
      <c r="B20" s="2" t="s">
        <v>62</v>
      </c>
      <c r="C20" s="2" t="s">
        <v>63</v>
      </c>
      <c r="D20" s="2">
        <v>150</v>
      </c>
      <c r="E20" s="2">
        <v>15</v>
      </c>
      <c r="F20" s="2" t="s">
        <v>13</v>
      </c>
      <c r="G20" t="str">
        <f t="shared" si="0"/>
        <v>01-MAR</v>
      </c>
      <c r="H20" t="str">
        <f t="shared" si="1"/>
        <v>UK</v>
      </c>
      <c r="I20" t="str">
        <f t="shared" si="2"/>
        <v>Sunglasses Oakley</v>
      </c>
    </row>
    <row r="21" spans="1:9" ht="15.75" customHeight="1">
      <c r="A21" s="3" t="s">
        <v>64</v>
      </c>
      <c r="B21" s="3" t="s">
        <v>65</v>
      </c>
      <c r="C21" s="3" t="s">
        <v>66</v>
      </c>
      <c r="D21" s="3">
        <v>130</v>
      </c>
      <c r="E21" s="3">
        <v>10</v>
      </c>
      <c r="F21" s="3" t="s">
        <v>40</v>
      </c>
      <c r="G21" t="str">
        <f t="shared" si="0"/>
        <v>14-AUG</v>
      </c>
      <c r="H21" t="str">
        <f t="shared" si="1"/>
        <v>US</v>
      </c>
      <c r="I21" t="str">
        <f t="shared" si="2"/>
        <v>Camping Tent Coleman</v>
      </c>
    </row>
    <row r="22" spans="1:9" ht="15.75" customHeight="1">
      <c r="A22" s="2" t="s">
        <v>67</v>
      </c>
      <c r="B22" s="2" t="s">
        <v>68</v>
      </c>
      <c r="C22" s="2" t="s">
        <v>69</v>
      </c>
      <c r="D22" s="2">
        <v>700</v>
      </c>
      <c r="E22" s="2">
        <v>50</v>
      </c>
      <c r="F22" s="2" t="s">
        <v>9</v>
      </c>
      <c r="G22" t="str">
        <f t="shared" si="0"/>
        <v>14-MAY</v>
      </c>
      <c r="H22" t="str">
        <f t="shared" si="1"/>
        <v>RU</v>
      </c>
      <c r="I22" t="str">
        <f t="shared" si="2"/>
        <v>Camera Nikon</v>
      </c>
    </row>
    <row r="23" spans="1:9" ht="15.75" customHeight="1">
      <c r="A23" s="3" t="s">
        <v>70</v>
      </c>
      <c r="B23" s="3" t="s">
        <v>71</v>
      </c>
      <c r="C23" s="3" t="s">
        <v>72</v>
      </c>
      <c r="D23" s="3">
        <v>80</v>
      </c>
      <c r="E23" s="3">
        <v>20</v>
      </c>
      <c r="F23" s="3" t="s">
        <v>17</v>
      </c>
      <c r="G23" t="str">
        <f t="shared" si="0"/>
        <v>09-JAN</v>
      </c>
      <c r="H23" t="str">
        <f t="shared" si="1"/>
        <v>CA</v>
      </c>
      <c r="I23" t="str">
        <f t="shared" si="2"/>
        <v>Microwave Panasonic</v>
      </c>
    </row>
    <row r="24" spans="1:9" ht="15.75" customHeight="1">
      <c r="A24" s="2" t="s">
        <v>73</v>
      </c>
      <c r="B24" s="2" t="s">
        <v>74</v>
      </c>
      <c r="C24" s="2" t="s">
        <v>75</v>
      </c>
      <c r="D24" s="2">
        <v>150</v>
      </c>
      <c r="E24" s="2">
        <v>30</v>
      </c>
      <c r="F24" s="2" t="s">
        <v>100</v>
      </c>
      <c r="G24" t="str">
        <f t="shared" si="0"/>
        <v>19-JUL</v>
      </c>
      <c r="H24" t="str">
        <f t="shared" si="1"/>
        <v>BR</v>
      </c>
      <c r="I24" t="str">
        <f t="shared" si="2"/>
        <v>Fitness Tracker Xiaomi</v>
      </c>
    </row>
    <row r="25" spans="1:9" ht="15.75" customHeight="1">
      <c r="A25" s="2" t="s">
        <v>76</v>
      </c>
      <c r="B25" s="2" t="s">
        <v>77</v>
      </c>
      <c r="C25" s="2" t="s">
        <v>78</v>
      </c>
      <c r="D25" s="2">
        <v>800</v>
      </c>
      <c r="E25" s="2">
        <v>45</v>
      </c>
      <c r="F25" s="2" t="s">
        <v>9</v>
      </c>
      <c r="G25" t="str">
        <f t="shared" si="0"/>
        <v>29-SEP</v>
      </c>
      <c r="H25" t="str">
        <f t="shared" si="1"/>
        <v>CA</v>
      </c>
      <c r="I25" t="str">
        <f t="shared" si="2"/>
        <v>Smartphone Google</v>
      </c>
    </row>
    <row r="26" spans="1:9" ht="15.75" customHeight="1">
      <c r="A26" s="3" t="s">
        <v>79</v>
      </c>
      <c r="B26" s="3" t="s">
        <v>62</v>
      </c>
      <c r="C26" s="3" t="s">
        <v>80</v>
      </c>
      <c r="D26" s="3">
        <v>150</v>
      </c>
      <c r="E26" s="3">
        <v>25</v>
      </c>
      <c r="F26" s="3" t="s">
        <v>13</v>
      </c>
      <c r="G26" t="str">
        <f t="shared" si="0"/>
        <v>03-JUN</v>
      </c>
      <c r="H26" t="str">
        <f t="shared" si="1"/>
        <v>CA</v>
      </c>
      <c r="I26" t="str">
        <f t="shared" si="2"/>
        <v>Sunglasses Ray-Ban</v>
      </c>
    </row>
    <row r="27" spans="1:9" ht="15.75" customHeight="1">
      <c r="A27" s="2" t="s">
        <v>81</v>
      </c>
      <c r="B27" s="2" t="s">
        <v>32</v>
      </c>
      <c r="C27" s="2" t="s">
        <v>82</v>
      </c>
      <c r="D27" s="2">
        <v>400</v>
      </c>
      <c r="E27" s="2">
        <v>40</v>
      </c>
      <c r="F27" s="2" t="s">
        <v>17</v>
      </c>
      <c r="G27" t="str">
        <f t="shared" si="0"/>
        <v>11-JUL</v>
      </c>
      <c r="H27" t="str">
        <f t="shared" si="1"/>
        <v>CA</v>
      </c>
      <c r="I27" t="str">
        <f t="shared" si="2"/>
        <v>Blender Vitamix</v>
      </c>
    </row>
    <row r="28" spans="1:9" ht="15.75" customHeight="1">
      <c r="A28" s="2" t="s">
        <v>83</v>
      </c>
      <c r="B28" s="2" t="s">
        <v>84</v>
      </c>
      <c r="C28" s="2" t="s">
        <v>85</v>
      </c>
      <c r="D28" s="2">
        <v>60</v>
      </c>
      <c r="E28" s="2">
        <v>30</v>
      </c>
      <c r="F28" s="2" t="s">
        <v>13</v>
      </c>
      <c r="G28" t="str">
        <f t="shared" si="0"/>
        <v>07-MAR</v>
      </c>
      <c r="H28" t="str">
        <f t="shared" si="1"/>
        <v>CA</v>
      </c>
      <c r="I28" t="str">
        <f t="shared" si="2"/>
        <v>Dress Zara</v>
      </c>
    </row>
    <row r="29" spans="1:9" ht="15.75" customHeight="1">
      <c r="A29" s="3" t="s">
        <v>86</v>
      </c>
      <c r="B29" s="3" t="s">
        <v>87</v>
      </c>
      <c r="C29" s="3" t="s">
        <v>88</v>
      </c>
      <c r="D29" s="3">
        <v>40</v>
      </c>
      <c r="E29" s="3">
        <v>10</v>
      </c>
      <c r="F29" s="3" t="s">
        <v>17</v>
      </c>
      <c r="G29" t="str">
        <f t="shared" si="0"/>
        <v>13-APR</v>
      </c>
      <c r="H29" t="str">
        <f t="shared" si="1"/>
        <v>CA</v>
      </c>
      <c r="I29" t="str">
        <f t="shared" si="2"/>
        <v>Toaster Hamilton</v>
      </c>
    </row>
    <row r="30" spans="1:9" ht="15.75" customHeight="1">
      <c r="A30" s="2" t="s">
        <v>89</v>
      </c>
      <c r="B30" s="2" t="s">
        <v>74</v>
      </c>
      <c r="C30" s="2" t="s">
        <v>90</v>
      </c>
      <c r="D30" s="2">
        <v>130</v>
      </c>
      <c r="E30" s="2">
        <v>5</v>
      </c>
      <c r="F30" s="2" t="s">
        <v>9</v>
      </c>
      <c r="G30" t="str">
        <f t="shared" si="0"/>
        <v>24-MAY</v>
      </c>
      <c r="H30" t="str">
        <f t="shared" si="1"/>
        <v>CA</v>
      </c>
      <c r="I30" t="str">
        <f t="shared" si="2"/>
        <v>Fitness Tracker Garmin</v>
      </c>
    </row>
    <row r="31" spans="1:9" ht="15.75" customHeight="1">
      <c r="A31" s="3" t="s">
        <v>91</v>
      </c>
      <c r="B31" s="3" t="s">
        <v>92</v>
      </c>
      <c r="C31" s="3" t="s">
        <v>93</v>
      </c>
      <c r="D31" s="3">
        <v>50</v>
      </c>
      <c r="E31" s="3">
        <v>50</v>
      </c>
      <c r="F31" s="3" t="s">
        <v>13</v>
      </c>
      <c r="G31" t="str">
        <f t="shared" si="0"/>
        <v>02-DEC</v>
      </c>
      <c r="H31" t="str">
        <f t="shared" si="1"/>
        <v>CA</v>
      </c>
      <c r="I31" t="str">
        <f t="shared" si="2"/>
        <v>Jeans Levi's</v>
      </c>
    </row>
    <row r="32" spans="1:9" ht="15.75" customHeight="1">
      <c r="A32" s="3" t="s">
        <v>94</v>
      </c>
      <c r="B32" s="3" t="s">
        <v>95</v>
      </c>
      <c r="C32" s="3" t="s">
        <v>96</v>
      </c>
      <c r="D32" s="3">
        <v>100</v>
      </c>
      <c r="E32" s="3">
        <v>20</v>
      </c>
      <c r="F32" s="3" t="s">
        <v>56</v>
      </c>
      <c r="G32" t="str">
        <f t="shared" si="0"/>
        <v>09-JUL</v>
      </c>
      <c r="H32" t="str">
        <f t="shared" si="1"/>
        <v>FR</v>
      </c>
      <c r="I32" t="str">
        <f t="shared" si="2"/>
        <v>Watch Casio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156A4-FA28-4DBA-8478-87F726AF1C14}">
  <sheetPr>
    <outlinePr summaryBelow="0" summaryRight="0"/>
  </sheetPr>
  <dimension ref="A1:M1000"/>
  <sheetViews>
    <sheetView workbookViewId="0">
      <selection activeCell="D2" sqref="D2"/>
    </sheetView>
  </sheetViews>
  <sheetFormatPr defaultColWidth="12.6640625" defaultRowHeight="15" customHeight="1"/>
  <cols>
    <col min="1" max="1" width="10.77734375" bestFit="1" customWidth="1"/>
    <col min="2" max="2" width="13.6640625" bestFit="1" customWidth="1"/>
    <col min="3" max="3" width="11.77734375" bestFit="1" customWidth="1"/>
    <col min="4" max="4" width="9.6640625" style="6" bestFit="1" customWidth="1"/>
    <col min="5" max="5" width="8.44140625" bestFit="1" customWidth="1"/>
    <col min="6" max="6" width="11" bestFit="1" customWidth="1"/>
    <col min="7" max="7" width="18.21875" hidden="1" customWidth="1"/>
    <col min="8" max="8" width="18.21875" customWidth="1"/>
    <col min="9" max="9" width="13.33203125" bestFit="1" customWidth="1"/>
    <col min="10" max="10" width="21.44140625" bestFit="1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3" t="s">
        <v>101</v>
      </c>
      <c r="E1" s="1" t="s">
        <v>4</v>
      </c>
      <c r="F1" s="1" t="s">
        <v>5</v>
      </c>
      <c r="G1" s="1" t="s">
        <v>97</v>
      </c>
      <c r="H1" s="8" t="s">
        <v>97</v>
      </c>
      <c r="I1" s="1" t="s">
        <v>98</v>
      </c>
      <c r="J1" s="1" t="s">
        <v>102</v>
      </c>
    </row>
    <row r="2" spans="1:13" ht="15.75" customHeight="1">
      <c r="A2" s="2" t="s">
        <v>6</v>
      </c>
      <c r="B2" s="2" t="s">
        <v>42</v>
      </c>
      <c r="C2" s="2" t="s">
        <v>8</v>
      </c>
      <c r="D2" s="11">
        <v>1000</v>
      </c>
      <c r="E2" s="2">
        <v>30</v>
      </c>
      <c r="F2" s="7" t="s">
        <v>9</v>
      </c>
      <c r="G2" t="str">
        <f>LEFT(A2,6)</f>
        <v>28-JAN</v>
      </c>
      <c r="H2" s="10">
        <f>DATE(2026,MONTH(G2),DAY(G2))</f>
        <v>46050</v>
      </c>
      <c r="I2" t="str">
        <f>RIGHT(A2,2)</f>
        <v>US</v>
      </c>
      <c r="J2" t="str">
        <f>B2&amp; " " &amp; C2</f>
        <v>Laptop Dell</v>
      </c>
    </row>
    <row r="3" spans="1:13" ht="15.75" customHeight="1">
      <c r="A3" s="3" t="s">
        <v>10</v>
      </c>
      <c r="B3" s="3" t="s">
        <v>11</v>
      </c>
      <c r="C3" s="3" t="s">
        <v>12</v>
      </c>
      <c r="D3" s="12">
        <v>80</v>
      </c>
      <c r="E3" s="3">
        <v>15</v>
      </c>
      <c r="F3" s="3" t="s">
        <v>13</v>
      </c>
      <c r="G3" t="str">
        <f t="shared" ref="G3:G32" si="0">LEFT(A3,6)</f>
        <v>15-FEB</v>
      </c>
      <c r="H3" s="10">
        <f t="shared" ref="H3:H32" si="1">DATE(2026,MONTH(G3),DAY(G3))</f>
        <v>46068</v>
      </c>
      <c r="I3" t="str">
        <f t="shared" ref="I3:I32" si="2">RIGHT(A3,2)</f>
        <v>US</v>
      </c>
      <c r="J3" t="str">
        <f t="shared" ref="J3:J32" si="3">B3&amp; " " &amp; C3</f>
        <v>Sneakers Nike</v>
      </c>
      <c r="K3" s="2"/>
      <c r="L3" s="2"/>
      <c r="M3" s="2"/>
    </row>
    <row r="4" spans="1:13" ht="15.75" customHeight="1">
      <c r="A4" s="2" t="s">
        <v>14</v>
      </c>
      <c r="B4" s="2" t="s">
        <v>15</v>
      </c>
      <c r="C4" s="2" t="s">
        <v>16</v>
      </c>
      <c r="D4" s="11">
        <v>130</v>
      </c>
      <c r="E4" s="2">
        <v>40</v>
      </c>
      <c r="F4" s="2" t="s">
        <v>17</v>
      </c>
      <c r="G4" t="str">
        <f t="shared" si="0"/>
        <v>03-MAR</v>
      </c>
      <c r="H4" s="10">
        <f t="shared" si="1"/>
        <v>46084</v>
      </c>
      <c r="I4" t="str">
        <f t="shared" si="2"/>
        <v>US</v>
      </c>
      <c r="J4" t="str">
        <f t="shared" si="3"/>
        <v>Coffee Maker Keurig</v>
      </c>
      <c r="K4" s="2"/>
      <c r="L4" s="2"/>
      <c r="M4" s="2"/>
    </row>
    <row r="5" spans="1:13" ht="15.75" customHeight="1">
      <c r="A5" s="3" t="s">
        <v>18</v>
      </c>
      <c r="B5" s="3" t="s">
        <v>77</v>
      </c>
      <c r="C5" s="3" t="s">
        <v>20</v>
      </c>
      <c r="D5" s="12">
        <v>900</v>
      </c>
      <c r="E5" s="3">
        <v>25</v>
      </c>
      <c r="F5" s="3" t="s">
        <v>9</v>
      </c>
      <c r="G5" t="str">
        <f t="shared" si="0"/>
        <v>11-APR</v>
      </c>
      <c r="H5" s="10">
        <f t="shared" si="1"/>
        <v>46123</v>
      </c>
      <c r="I5" t="str">
        <f t="shared" si="2"/>
        <v>US</v>
      </c>
      <c r="J5" t="str">
        <f t="shared" si="3"/>
        <v>Smartphone Samsung</v>
      </c>
      <c r="K5" s="2"/>
      <c r="L5" s="2"/>
      <c r="M5" s="2"/>
    </row>
    <row r="6" spans="1:13" ht="15.75" customHeight="1">
      <c r="A6" s="2" t="s">
        <v>21</v>
      </c>
      <c r="B6" s="2" t="s">
        <v>22</v>
      </c>
      <c r="C6" s="2" t="s">
        <v>23</v>
      </c>
      <c r="D6" s="11">
        <v>70</v>
      </c>
      <c r="E6" s="2">
        <v>20</v>
      </c>
      <c r="F6" s="2" t="s">
        <v>100</v>
      </c>
      <c r="G6" t="str">
        <f t="shared" si="0"/>
        <v>22-MAY</v>
      </c>
      <c r="H6" s="10">
        <f t="shared" si="1"/>
        <v>46164</v>
      </c>
      <c r="I6" t="str">
        <f t="shared" si="2"/>
        <v>US</v>
      </c>
      <c r="J6" t="str">
        <f t="shared" si="3"/>
        <v>Backpack North Face</v>
      </c>
    </row>
    <row r="7" spans="1:13" ht="15.75" customHeight="1">
      <c r="A7" s="3" t="s">
        <v>24</v>
      </c>
      <c r="B7" s="3" t="s">
        <v>25</v>
      </c>
      <c r="C7" s="3" t="s">
        <v>26</v>
      </c>
      <c r="D7" s="12">
        <v>250</v>
      </c>
      <c r="E7" s="3">
        <v>45</v>
      </c>
      <c r="F7" s="3" t="s">
        <v>9</v>
      </c>
      <c r="G7" t="str">
        <f t="shared" si="0"/>
        <v>07-JUN</v>
      </c>
      <c r="H7" s="10">
        <f t="shared" si="1"/>
        <v>46180</v>
      </c>
      <c r="I7" t="str">
        <f t="shared" si="2"/>
        <v>UK</v>
      </c>
      <c r="J7" t="str">
        <f t="shared" si="3"/>
        <v>Headphones Sony</v>
      </c>
    </row>
    <row r="8" spans="1:13" ht="15.75" customHeight="1">
      <c r="A8" s="2" t="s">
        <v>28</v>
      </c>
      <c r="B8" s="2" t="s">
        <v>99</v>
      </c>
      <c r="C8" s="2" t="s">
        <v>30</v>
      </c>
      <c r="D8" s="11">
        <v>30</v>
      </c>
      <c r="E8" s="2">
        <v>5</v>
      </c>
      <c r="F8" s="2" t="s">
        <v>13</v>
      </c>
      <c r="G8" t="str">
        <f t="shared" si="0"/>
        <v>19-JUL</v>
      </c>
      <c r="H8" s="10">
        <f t="shared" si="1"/>
        <v>46222</v>
      </c>
      <c r="I8" t="str">
        <f t="shared" si="2"/>
        <v>UK</v>
      </c>
      <c r="J8" t="str">
        <f t="shared" si="3"/>
        <v>T-Shirt Adidas</v>
      </c>
    </row>
    <row r="9" spans="1:13" ht="15.75" customHeight="1">
      <c r="A9" s="3" t="s">
        <v>31</v>
      </c>
      <c r="B9" s="3" t="s">
        <v>32</v>
      </c>
      <c r="C9" s="3" t="s">
        <v>33</v>
      </c>
      <c r="D9" s="12">
        <v>90</v>
      </c>
      <c r="E9" s="3">
        <v>35</v>
      </c>
      <c r="F9" s="3" t="s">
        <v>17</v>
      </c>
      <c r="G9" t="str">
        <f t="shared" si="0"/>
        <v>23-AUG</v>
      </c>
      <c r="H9" s="10">
        <f t="shared" si="1"/>
        <v>46257</v>
      </c>
      <c r="I9" t="str">
        <f t="shared" si="2"/>
        <v>UK</v>
      </c>
      <c r="J9" t="str">
        <f t="shared" si="3"/>
        <v>Blender Ninja</v>
      </c>
    </row>
    <row r="10" spans="1:13" ht="15.75" customHeight="1">
      <c r="A10" s="2" t="s">
        <v>34</v>
      </c>
      <c r="B10" s="2" t="s">
        <v>35</v>
      </c>
      <c r="C10" s="2" t="s">
        <v>36</v>
      </c>
      <c r="D10" s="11">
        <v>500</v>
      </c>
      <c r="E10" s="2">
        <v>50</v>
      </c>
      <c r="F10" s="2" t="s">
        <v>9</v>
      </c>
      <c r="G10" t="str">
        <f t="shared" si="0"/>
        <v>05-SEP</v>
      </c>
      <c r="H10" s="10">
        <f t="shared" si="1"/>
        <v>46270</v>
      </c>
      <c r="I10" t="str">
        <f t="shared" si="2"/>
        <v>UK</v>
      </c>
      <c r="J10" t="str">
        <f t="shared" si="3"/>
        <v>Tablet Apple</v>
      </c>
    </row>
    <row r="11" spans="1:13" ht="15.75" customHeight="1">
      <c r="A11" s="3" t="s">
        <v>37</v>
      </c>
      <c r="B11" s="3" t="s">
        <v>38</v>
      </c>
      <c r="C11" s="3" t="s">
        <v>39</v>
      </c>
      <c r="D11" s="12">
        <v>130</v>
      </c>
      <c r="E11" s="3">
        <v>10</v>
      </c>
      <c r="F11" s="3" t="s">
        <v>40</v>
      </c>
      <c r="G11" t="str">
        <f t="shared" si="0"/>
        <v>14-OCT</v>
      </c>
      <c r="H11" s="10">
        <f t="shared" si="1"/>
        <v>46309</v>
      </c>
      <c r="I11" t="str">
        <f t="shared" si="2"/>
        <v>UK</v>
      </c>
      <c r="J11" t="str">
        <f t="shared" si="3"/>
        <v>Hiking Boots Timberland</v>
      </c>
    </row>
    <row r="12" spans="1:13" ht="15.75" customHeight="1">
      <c r="A12" s="2" t="s">
        <v>41</v>
      </c>
      <c r="B12" s="2" t="s">
        <v>42</v>
      </c>
      <c r="C12" s="2" t="s">
        <v>43</v>
      </c>
      <c r="D12" s="11">
        <v>950</v>
      </c>
      <c r="E12" s="2">
        <v>25</v>
      </c>
      <c r="F12" s="2" t="s">
        <v>9</v>
      </c>
      <c r="G12" t="str">
        <f t="shared" si="0"/>
        <v>17-JUN</v>
      </c>
      <c r="H12" s="10">
        <f t="shared" si="1"/>
        <v>46190</v>
      </c>
      <c r="I12" t="str">
        <f t="shared" si="2"/>
        <v>IN</v>
      </c>
      <c r="J12" t="str">
        <f t="shared" si="3"/>
        <v>Laptop HP</v>
      </c>
    </row>
    <row r="13" spans="1:13" ht="15.75" customHeight="1">
      <c r="A13" s="3" t="s">
        <v>44</v>
      </c>
      <c r="B13" s="3" t="s">
        <v>11</v>
      </c>
      <c r="C13" s="3" t="s">
        <v>30</v>
      </c>
      <c r="D13" s="12">
        <v>90</v>
      </c>
      <c r="E13" s="3">
        <v>40</v>
      </c>
      <c r="F13" s="3" t="s">
        <v>100</v>
      </c>
      <c r="G13" t="str">
        <f t="shared" si="0"/>
        <v>25-NOV</v>
      </c>
      <c r="H13" s="10">
        <f t="shared" si="1"/>
        <v>46351</v>
      </c>
      <c r="I13" t="str">
        <f t="shared" si="2"/>
        <v>AU</v>
      </c>
      <c r="J13" t="str">
        <f t="shared" si="3"/>
        <v>Sneakers Adidas</v>
      </c>
    </row>
    <row r="14" spans="1:13" ht="15.75" customHeight="1">
      <c r="A14" s="2" t="s">
        <v>45</v>
      </c>
      <c r="B14" s="2" t="s">
        <v>15</v>
      </c>
      <c r="C14" s="2" t="s">
        <v>46</v>
      </c>
      <c r="D14" s="11">
        <v>120</v>
      </c>
      <c r="E14" s="2">
        <v>35</v>
      </c>
      <c r="F14" s="2" t="s">
        <v>100</v>
      </c>
      <c r="G14" t="str">
        <f t="shared" si="0"/>
        <v>08-DEC</v>
      </c>
      <c r="H14" s="10">
        <f t="shared" si="1"/>
        <v>46364</v>
      </c>
      <c r="I14" t="str">
        <f t="shared" si="2"/>
        <v>DE</v>
      </c>
      <c r="J14" t="str">
        <f t="shared" si="3"/>
        <v>Coffee Maker Nespresso</v>
      </c>
    </row>
    <row r="15" spans="1:13" ht="15.75" customHeight="1">
      <c r="A15" s="3" t="s">
        <v>47</v>
      </c>
      <c r="B15" s="3" t="s">
        <v>48</v>
      </c>
      <c r="C15" s="3" t="s">
        <v>49</v>
      </c>
      <c r="D15" s="12">
        <v>150</v>
      </c>
      <c r="E15" s="3">
        <v>15</v>
      </c>
      <c r="F15" s="3" t="s">
        <v>9</v>
      </c>
      <c r="G15" t="str">
        <f t="shared" si="0"/>
        <v>18-FEB</v>
      </c>
      <c r="H15" s="10">
        <f t="shared" si="1"/>
        <v>46071</v>
      </c>
      <c r="I15" t="str">
        <f t="shared" si="2"/>
        <v>CA</v>
      </c>
      <c r="J15" t="str">
        <f t="shared" si="3"/>
        <v>Smartwatch Fitbit</v>
      </c>
    </row>
    <row r="16" spans="1:13" ht="15.75" customHeight="1">
      <c r="A16" s="2" t="s">
        <v>50</v>
      </c>
      <c r="B16" s="2" t="s">
        <v>25</v>
      </c>
      <c r="C16" s="2" t="s">
        <v>52</v>
      </c>
      <c r="D16" s="11">
        <v>250</v>
      </c>
      <c r="E16" s="2">
        <v>20</v>
      </c>
      <c r="F16" s="2" t="s">
        <v>9</v>
      </c>
      <c r="G16" t="str">
        <f t="shared" si="0"/>
        <v>16-APR</v>
      </c>
      <c r="H16" s="10">
        <f t="shared" si="1"/>
        <v>46128</v>
      </c>
      <c r="I16" t="str">
        <f t="shared" si="2"/>
        <v>ES</v>
      </c>
      <c r="J16" t="str">
        <f t="shared" si="3"/>
        <v>Headphones Bose</v>
      </c>
    </row>
    <row r="17" spans="1:10" ht="15.75" customHeight="1">
      <c r="A17" s="3" t="s">
        <v>53</v>
      </c>
      <c r="B17" s="3" t="s">
        <v>54</v>
      </c>
      <c r="C17" s="3" t="s">
        <v>55</v>
      </c>
      <c r="D17" s="12">
        <v>50</v>
      </c>
      <c r="E17" s="3">
        <v>35</v>
      </c>
      <c r="F17" s="3" t="s">
        <v>56</v>
      </c>
      <c r="G17" t="str">
        <f t="shared" si="0"/>
        <v>21-AUG</v>
      </c>
      <c r="H17" s="10">
        <f t="shared" si="1"/>
        <v>46255</v>
      </c>
      <c r="I17" t="str">
        <f t="shared" si="2"/>
        <v>CA</v>
      </c>
      <c r="J17" t="str">
        <f t="shared" si="3"/>
        <v>Laptop Bag Samsonite</v>
      </c>
    </row>
    <row r="18" spans="1:10" ht="15.75" customHeight="1">
      <c r="A18" s="2" t="s">
        <v>57</v>
      </c>
      <c r="B18" s="2" t="s">
        <v>48</v>
      </c>
      <c r="C18" s="2" t="s">
        <v>58</v>
      </c>
      <c r="D18" s="11">
        <v>160</v>
      </c>
      <c r="E18" s="2">
        <v>15</v>
      </c>
      <c r="F18" s="2" t="s">
        <v>9</v>
      </c>
      <c r="G18" t="str">
        <f t="shared" si="0"/>
        <v>20-AUG</v>
      </c>
      <c r="H18" s="10">
        <f t="shared" si="1"/>
        <v>46254</v>
      </c>
      <c r="I18" t="str">
        <f t="shared" si="2"/>
        <v>CN</v>
      </c>
      <c r="J18" t="str">
        <f t="shared" si="3"/>
        <v>Smartwatch Huawei</v>
      </c>
    </row>
    <row r="19" spans="1:10" ht="15.75" customHeight="1">
      <c r="A19" s="3" t="s">
        <v>59</v>
      </c>
      <c r="B19" s="3" t="s">
        <v>42</v>
      </c>
      <c r="C19" s="3" t="s">
        <v>60</v>
      </c>
      <c r="D19" s="12">
        <v>980</v>
      </c>
      <c r="E19" s="3">
        <v>10</v>
      </c>
      <c r="F19" s="3" t="s">
        <v>9</v>
      </c>
      <c r="G19" t="str">
        <f t="shared" si="0"/>
        <v>27-JAN</v>
      </c>
      <c r="H19" s="10">
        <f t="shared" si="1"/>
        <v>46049</v>
      </c>
      <c r="I19" t="str">
        <f t="shared" si="2"/>
        <v>IT</v>
      </c>
      <c r="J19" t="str">
        <f t="shared" si="3"/>
        <v>Laptop Asus</v>
      </c>
    </row>
    <row r="20" spans="1:10" ht="15.75" customHeight="1">
      <c r="A20" s="2" t="s">
        <v>61</v>
      </c>
      <c r="B20" s="2" t="s">
        <v>62</v>
      </c>
      <c r="C20" s="2" t="s">
        <v>63</v>
      </c>
      <c r="D20" s="11">
        <v>150</v>
      </c>
      <c r="E20" s="2">
        <v>15</v>
      </c>
      <c r="F20" s="2" t="s">
        <v>13</v>
      </c>
      <c r="G20" t="str">
        <f t="shared" si="0"/>
        <v>01-MAR</v>
      </c>
      <c r="H20" s="10">
        <f t="shared" si="1"/>
        <v>46082</v>
      </c>
      <c r="I20" t="str">
        <f t="shared" si="2"/>
        <v>UK</v>
      </c>
      <c r="J20" t="str">
        <f t="shared" si="3"/>
        <v>Sunglasses Oakley</v>
      </c>
    </row>
    <row r="21" spans="1:10" ht="15.75" customHeight="1">
      <c r="A21" s="3" t="s">
        <v>64</v>
      </c>
      <c r="B21" s="3" t="s">
        <v>65</v>
      </c>
      <c r="C21" s="3" t="s">
        <v>66</v>
      </c>
      <c r="D21" s="12">
        <v>130</v>
      </c>
      <c r="E21" s="3">
        <v>10</v>
      </c>
      <c r="F21" s="3" t="s">
        <v>40</v>
      </c>
      <c r="G21" t="str">
        <f t="shared" si="0"/>
        <v>14-AUG</v>
      </c>
      <c r="H21" s="10">
        <f t="shared" si="1"/>
        <v>46248</v>
      </c>
      <c r="I21" t="str">
        <f t="shared" si="2"/>
        <v>US</v>
      </c>
      <c r="J21" t="str">
        <f t="shared" si="3"/>
        <v>Camping Tent Coleman</v>
      </c>
    </row>
    <row r="22" spans="1:10" ht="15.75" customHeight="1">
      <c r="A22" s="2" t="s">
        <v>67</v>
      </c>
      <c r="B22" s="2" t="s">
        <v>68</v>
      </c>
      <c r="C22" s="2" t="s">
        <v>69</v>
      </c>
      <c r="D22" s="11">
        <v>700</v>
      </c>
      <c r="E22" s="2">
        <v>50</v>
      </c>
      <c r="F22" s="2" t="s">
        <v>9</v>
      </c>
      <c r="G22" t="str">
        <f t="shared" si="0"/>
        <v>14-MAY</v>
      </c>
      <c r="H22" s="10">
        <f t="shared" si="1"/>
        <v>46156</v>
      </c>
      <c r="I22" t="str">
        <f t="shared" si="2"/>
        <v>RU</v>
      </c>
      <c r="J22" t="str">
        <f t="shared" si="3"/>
        <v>Camera Nikon</v>
      </c>
    </row>
    <row r="23" spans="1:10" ht="15.75" customHeight="1">
      <c r="A23" s="3" t="s">
        <v>70</v>
      </c>
      <c r="B23" s="3" t="s">
        <v>71</v>
      </c>
      <c r="C23" s="3" t="s">
        <v>72</v>
      </c>
      <c r="D23" s="12">
        <v>80</v>
      </c>
      <c r="E23" s="3">
        <v>20</v>
      </c>
      <c r="F23" s="3" t="s">
        <v>17</v>
      </c>
      <c r="G23" t="str">
        <f t="shared" si="0"/>
        <v>09-JAN</v>
      </c>
      <c r="H23" s="10">
        <f t="shared" si="1"/>
        <v>46031</v>
      </c>
      <c r="I23" t="str">
        <f t="shared" si="2"/>
        <v>CA</v>
      </c>
      <c r="J23" t="str">
        <f t="shared" si="3"/>
        <v>Microwave Panasonic</v>
      </c>
    </row>
    <row r="24" spans="1:10" ht="15.75" customHeight="1">
      <c r="A24" s="2" t="s">
        <v>73</v>
      </c>
      <c r="B24" s="2" t="s">
        <v>74</v>
      </c>
      <c r="C24" s="2" t="s">
        <v>75</v>
      </c>
      <c r="D24" s="11">
        <v>150</v>
      </c>
      <c r="E24" s="2">
        <v>30</v>
      </c>
      <c r="F24" s="2" t="s">
        <v>100</v>
      </c>
      <c r="G24" t="str">
        <f t="shared" si="0"/>
        <v>19-JUL</v>
      </c>
      <c r="H24" s="10">
        <f t="shared" si="1"/>
        <v>46222</v>
      </c>
      <c r="I24" t="str">
        <f t="shared" si="2"/>
        <v>BR</v>
      </c>
      <c r="J24" t="str">
        <f t="shared" si="3"/>
        <v>Fitness Tracker Xiaomi</v>
      </c>
    </row>
    <row r="25" spans="1:10" ht="15.75" customHeight="1">
      <c r="A25" s="2" t="s">
        <v>76</v>
      </c>
      <c r="B25" s="2" t="s">
        <v>77</v>
      </c>
      <c r="C25" s="2" t="s">
        <v>78</v>
      </c>
      <c r="D25" s="11">
        <v>800</v>
      </c>
      <c r="E25" s="2">
        <v>45</v>
      </c>
      <c r="F25" s="2" t="s">
        <v>9</v>
      </c>
      <c r="G25" t="str">
        <f t="shared" si="0"/>
        <v>29-SEP</v>
      </c>
      <c r="H25" s="10">
        <f t="shared" si="1"/>
        <v>46294</v>
      </c>
      <c r="I25" t="str">
        <f t="shared" si="2"/>
        <v>CA</v>
      </c>
      <c r="J25" t="str">
        <f t="shared" si="3"/>
        <v>Smartphone Google</v>
      </c>
    </row>
    <row r="26" spans="1:10" ht="15.75" customHeight="1">
      <c r="A26" s="3" t="s">
        <v>79</v>
      </c>
      <c r="B26" s="3" t="s">
        <v>62</v>
      </c>
      <c r="C26" s="3" t="s">
        <v>80</v>
      </c>
      <c r="D26" s="12">
        <v>150</v>
      </c>
      <c r="E26" s="3">
        <v>25</v>
      </c>
      <c r="F26" s="3" t="s">
        <v>13</v>
      </c>
      <c r="G26" t="str">
        <f t="shared" si="0"/>
        <v>03-JUN</v>
      </c>
      <c r="H26" s="10">
        <f t="shared" si="1"/>
        <v>46176</v>
      </c>
      <c r="I26" t="str">
        <f t="shared" si="2"/>
        <v>CA</v>
      </c>
      <c r="J26" t="str">
        <f t="shared" si="3"/>
        <v>Sunglasses Ray-Ban</v>
      </c>
    </row>
    <row r="27" spans="1:10" ht="15.75" customHeight="1">
      <c r="A27" s="2" t="s">
        <v>81</v>
      </c>
      <c r="B27" s="2" t="s">
        <v>32</v>
      </c>
      <c r="C27" s="2" t="s">
        <v>82</v>
      </c>
      <c r="D27" s="11">
        <v>400</v>
      </c>
      <c r="E27" s="2">
        <v>40</v>
      </c>
      <c r="F27" s="2" t="s">
        <v>17</v>
      </c>
      <c r="G27" t="str">
        <f t="shared" si="0"/>
        <v>11-JUL</v>
      </c>
      <c r="H27" s="10">
        <f t="shared" si="1"/>
        <v>46214</v>
      </c>
      <c r="I27" t="str">
        <f t="shared" si="2"/>
        <v>CA</v>
      </c>
      <c r="J27" t="str">
        <f t="shared" si="3"/>
        <v>Blender Vitamix</v>
      </c>
    </row>
    <row r="28" spans="1:10" ht="15.75" customHeight="1">
      <c r="A28" s="2" t="s">
        <v>83</v>
      </c>
      <c r="B28" s="2" t="s">
        <v>84</v>
      </c>
      <c r="C28" s="2" t="s">
        <v>85</v>
      </c>
      <c r="D28" s="11">
        <v>60</v>
      </c>
      <c r="E28" s="2">
        <v>30</v>
      </c>
      <c r="F28" s="2" t="s">
        <v>13</v>
      </c>
      <c r="G28" t="str">
        <f t="shared" si="0"/>
        <v>07-MAR</v>
      </c>
      <c r="H28" s="10">
        <f t="shared" si="1"/>
        <v>46088</v>
      </c>
      <c r="I28" t="str">
        <f t="shared" si="2"/>
        <v>CA</v>
      </c>
      <c r="J28" t="str">
        <f t="shared" si="3"/>
        <v>Dress Zara</v>
      </c>
    </row>
    <row r="29" spans="1:10" ht="15.75" customHeight="1">
      <c r="A29" s="3" t="s">
        <v>86</v>
      </c>
      <c r="B29" s="3" t="s">
        <v>87</v>
      </c>
      <c r="C29" s="3" t="s">
        <v>88</v>
      </c>
      <c r="D29" s="12">
        <v>40</v>
      </c>
      <c r="E29" s="3">
        <v>10</v>
      </c>
      <c r="F29" s="3" t="s">
        <v>17</v>
      </c>
      <c r="G29" t="str">
        <f t="shared" si="0"/>
        <v>13-APR</v>
      </c>
      <c r="H29" s="10">
        <f t="shared" si="1"/>
        <v>46125</v>
      </c>
      <c r="I29" t="str">
        <f t="shared" si="2"/>
        <v>CA</v>
      </c>
      <c r="J29" t="str">
        <f t="shared" si="3"/>
        <v>Toaster Hamilton</v>
      </c>
    </row>
    <row r="30" spans="1:10" ht="15.75" customHeight="1">
      <c r="A30" s="2" t="s">
        <v>89</v>
      </c>
      <c r="B30" s="2" t="s">
        <v>74</v>
      </c>
      <c r="C30" s="2" t="s">
        <v>90</v>
      </c>
      <c r="D30" s="11">
        <v>130</v>
      </c>
      <c r="E30" s="2">
        <v>5</v>
      </c>
      <c r="F30" s="2" t="s">
        <v>9</v>
      </c>
      <c r="G30" t="str">
        <f t="shared" si="0"/>
        <v>24-MAY</v>
      </c>
      <c r="H30" s="10">
        <f t="shared" si="1"/>
        <v>46166</v>
      </c>
      <c r="I30" t="str">
        <f t="shared" si="2"/>
        <v>CA</v>
      </c>
      <c r="J30" t="str">
        <f t="shared" si="3"/>
        <v>Fitness Tracker Garmin</v>
      </c>
    </row>
    <row r="31" spans="1:10" ht="15.75" customHeight="1">
      <c r="A31" s="3" t="s">
        <v>91</v>
      </c>
      <c r="B31" s="3" t="s">
        <v>92</v>
      </c>
      <c r="C31" s="3" t="s">
        <v>93</v>
      </c>
      <c r="D31" s="12">
        <v>50</v>
      </c>
      <c r="E31" s="3">
        <v>50</v>
      </c>
      <c r="F31" s="3" t="s">
        <v>13</v>
      </c>
      <c r="G31" t="str">
        <f t="shared" si="0"/>
        <v>02-DEC</v>
      </c>
      <c r="H31" s="10">
        <f t="shared" si="1"/>
        <v>46358</v>
      </c>
      <c r="I31" t="str">
        <f t="shared" si="2"/>
        <v>CA</v>
      </c>
      <c r="J31" t="str">
        <f t="shared" si="3"/>
        <v>Jeans Levi's</v>
      </c>
    </row>
    <row r="32" spans="1:10" ht="15.75" customHeight="1">
      <c r="A32" s="3" t="s">
        <v>94</v>
      </c>
      <c r="B32" s="3" t="s">
        <v>95</v>
      </c>
      <c r="C32" s="3" t="s">
        <v>96</v>
      </c>
      <c r="D32" s="12">
        <v>100</v>
      </c>
      <c r="E32" s="3">
        <v>20</v>
      </c>
      <c r="F32" s="3" t="s">
        <v>56</v>
      </c>
      <c r="G32" t="str">
        <f t="shared" si="0"/>
        <v>09-JUL</v>
      </c>
      <c r="H32" s="10">
        <f t="shared" si="1"/>
        <v>46212</v>
      </c>
      <c r="I32" t="str">
        <f t="shared" si="2"/>
        <v>FR</v>
      </c>
      <c r="J32" t="str">
        <f t="shared" si="3"/>
        <v>Watch Casio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D3C6F-AC92-4532-88DF-6F484D6F55D6}">
  <sheetPr>
    <outlinePr summaryBelow="0" summaryRight="0"/>
  </sheetPr>
  <dimension ref="A1:M1000"/>
  <sheetViews>
    <sheetView tabSelected="1" workbookViewId="0">
      <selection activeCell="E36" sqref="E36"/>
    </sheetView>
  </sheetViews>
  <sheetFormatPr defaultColWidth="12.6640625" defaultRowHeight="15" customHeight="1"/>
  <cols>
    <col min="1" max="1" width="10.77734375" bestFit="1" customWidth="1"/>
    <col min="2" max="2" width="13.6640625" bestFit="1" customWidth="1"/>
    <col min="3" max="3" width="11.77734375" bestFit="1" customWidth="1"/>
    <col min="4" max="4" width="9.6640625" style="6" bestFit="1" customWidth="1"/>
    <col min="5" max="5" width="8.44140625" bestFit="1" customWidth="1"/>
    <col min="6" max="6" width="11" bestFit="1" customWidth="1"/>
    <col min="7" max="7" width="18.21875" hidden="1" customWidth="1"/>
    <col min="8" max="8" width="18.21875" customWidth="1"/>
    <col min="9" max="9" width="13.33203125" bestFit="1" customWidth="1"/>
    <col min="10" max="10" width="21.44140625" bestFit="1" customWidth="1"/>
  </cols>
  <sheetData>
    <row r="1" spans="1:13" ht="15.75" customHeight="1">
      <c r="A1" s="1" t="s">
        <v>0</v>
      </c>
      <c r="B1" s="1" t="s">
        <v>1</v>
      </c>
      <c r="C1" s="1" t="s">
        <v>2</v>
      </c>
      <c r="D1" s="13" t="s">
        <v>101</v>
      </c>
      <c r="E1" s="1" t="s">
        <v>4</v>
      </c>
      <c r="F1" s="8" t="s">
        <v>5</v>
      </c>
      <c r="G1" s="1" t="s">
        <v>97</v>
      </c>
      <c r="H1" s="1" t="s">
        <v>97</v>
      </c>
      <c r="I1" s="1" t="s">
        <v>98</v>
      </c>
      <c r="J1" s="1" t="s">
        <v>102</v>
      </c>
    </row>
    <row r="2" spans="1:13" ht="15.75" customHeight="1">
      <c r="A2" s="2" t="s">
        <v>6</v>
      </c>
      <c r="B2" s="2" t="s">
        <v>42</v>
      </c>
      <c r="C2" s="2" t="s">
        <v>8</v>
      </c>
      <c r="D2" s="11">
        <v>1000</v>
      </c>
      <c r="E2" s="2">
        <v>30</v>
      </c>
      <c r="F2" s="7" t="s">
        <v>9</v>
      </c>
      <c r="G2" t="str">
        <f>LEFT(A2,6)</f>
        <v>28-JAN</v>
      </c>
      <c r="H2" s="10">
        <f>DATE(2026,MONTH(G2),DAY(G2))</f>
        <v>46050</v>
      </c>
      <c r="I2" t="str">
        <f>RIGHT(A2,2)</f>
        <v>US</v>
      </c>
      <c r="J2" t="str">
        <f>B2&amp; " " &amp; C2</f>
        <v>Laptop Dell</v>
      </c>
    </row>
    <row r="3" spans="1:13" ht="15.75" customHeight="1">
      <c r="A3" s="3" t="s">
        <v>10</v>
      </c>
      <c r="B3" s="3" t="s">
        <v>11</v>
      </c>
      <c r="C3" s="3" t="s">
        <v>12</v>
      </c>
      <c r="D3" s="12">
        <v>80</v>
      </c>
      <c r="E3" s="3">
        <v>15</v>
      </c>
      <c r="F3" s="3" t="s">
        <v>13</v>
      </c>
      <c r="G3" t="str">
        <f t="shared" ref="G3:G32" si="0">LEFT(A3,6)</f>
        <v>15-FEB</v>
      </c>
      <c r="H3" s="10">
        <f t="shared" ref="H3:H32" si="1">DATE(2026,MONTH(G3),DAY(G3))</f>
        <v>46068</v>
      </c>
      <c r="I3" t="str">
        <f t="shared" ref="I3:I32" si="2">RIGHT(A3,2)</f>
        <v>US</v>
      </c>
      <c r="J3" t="str">
        <f t="shared" ref="J3:J32" si="3">B3&amp; " " &amp; C3</f>
        <v>Sneakers Nike</v>
      </c>
      <c r="K3" s="2"/>
      <c r="L3" s="2"/>
      <c r="M3" s="2"/>
    </row>
    <row r="4" spans="1:13" ht="15.75" customHeight="1">
      <c r="A4" s="2" t="s">
        <v>14</v>
      </c>
      <c r="B4" s="2" t="s">
        <v>15</v>
      </c>
      <c r="C4" s="2" t="s">
        <v>16</v>
      </c>
      <c r="D4" s="11">
        <v>130</v>
      </c>
      <c r="E4" s="2">
        <v>40</v>
      </c>
      <c r="F4" s="2" t="s">
        <v>17</v>
      </c>
      <c r="G4" t="str">
        <f t="shared" si="0"/>
        <v>03-MAR</v>
      </c>
      <c r="H4" s="10">
        <f t="shared" si="1"/>
        <v>46084</v>
      </c>
      <c r="I4" t="str">
        <f t="shared" si="2"/>
        <v>US</v>
      </c>
      <c r="J4" t="str">
        <f t="shared" si="3"/>
        <v>Coffee Maker Keurig</v>
      </c>
      <c r="K4" s="2"/>
      <c r="L4" s="2"/>
      <c r="M4" s="2"/>
    </row>
    <row r="5" spans="1:13" ht="15.75" customHeight="1">
      <c r="A5" s="3" t="s">
        <v>18</v>
      </c>
      <c r="B5" s="3" t="s">
        <v>77</v>
      </c>
      <c r="C5" s="3" t="s">
        <v>20</v>
      </c>
      <c r="D5" s="12">
        <v>900</v>
      </c>
      <c r="E5" s="3">
        <v>25</v>
      </c>
      <c r="F5" s="3" t="s">
        <v>9</v>
      </c>
      <c r="G5" t="str">
        <f t="shared" si="0"/>
        <v>11-APR</v>
      </c>
      <c r="H5" s="10">
        <f t="shared" si="1"/>
        <v>46123</v>
      </c>
      <c r="I5" t="str">
        <f t="shared" si="2"/>
        <v>US</v>
      </c>
      <c r="J5" t="str">
        <f t="shared" si="3"/>
        <v>Smartphone Samsung</v>
      </c>
      <c r="K5" s="2"/>
      <c r="L5" s="2"/>
      <c r="M5" s="2"/>
    </row>
    <row r="6" spans="1:13" ht="15.75" customHeight="1">
      <c r="A6" s="2" t="s">
        <v>21</v>
      </c>
      <c r="B6" s="2" t="s">
        <v>22</v>
      </c>
      <c r="C6" s="2" t="s">
        <v>23</v>
      </c>
      <c r="D6" s="11">
        <v>70</v>
      </c>
      <c r="E6" s="2">
        <v>20</v>
      </c>
      <c r="F6" s="2" t="s">
        <v>100</v>
      </c>
      <c r="G6" t="str">
        <f t="shared" si="0"/>
        <v>22-MAY</v>
      </c>
      <c r="H6" s="10">
        <f t="shared" si="1"/>
        <v>46164</v>
      </c>
      <c r="I6" t="str">
        <f t="shared" si="2"/>
        <v>US</v>
      </c>
      <c r="J6" t="str">
        <f t="shared" si="3"/>
        <v>Backpack North Face</v>
      </c>
    </row>
    <row r="7" spans="1:13" ht="15.75" customHeight="1">
      <c r="A7" s="3" t="s">
        <v>24</v>
      </c>
      <c r="B7" s="3" t="s">
        <v>25</v>
      </c>
      <c r="C7" s="3" t="s">
        <v>26</v>
      </c>
      <c r="D7" s="12">
        <v>250</v>
      </c>
      <c r="E7" s="3">
        <v>45</v>
      </c>
      <c r="F7" s="3" t="s">
        <v>9</v>
      </c>
      <c r="G7" t="str">
        <f t="shared" si="0"/>
        <v>07-JUN</v>
      </c>
      <c r="H7" s="10">
        <f t="shared" si="1"/>
        <v>46180</v>
      </c>
      <c r="I7" t="str">
        <f t="shared" si="2"/>
        <v>UK</v>
      </c>
      <c r="J7" t="str">
        <f t="shared" si="3"/>
        <v>Headphones Sony</v>
      </c>
    </row>
    <row r="8" spans="1:13" ht="15.75" customHeight="1">
      <c r="A8" s="2" t="s">
        <v>28</v>
      </c>
      <c r="B8" s="2" t="s">
        <v>99</v>
      </c>
      <c r="C8" s="2" t="s">
        <v>30</v>
      </c>
      <c r="D8" s="11">
        <v>30</v>
      </c>
      <c r="E8" s="2">
        <v>5</v>
      </c>
      <c r="F8" s="2" t="s">
        <v>13</v>
      </c>
      <c r="G8" t="str">
        <f t="shared" si="0"/>
        <v>19-JUL</v>
      </c>
      <c r="H8" s="10">
        <f t="shared" si="1"/>
        <v>46222</v>
      </c>
      <c r="I8" t="str">
        <f t="shared" si="2"/>
        <v>UK</v>
      </c>
      <c r="J8" t="str">
        <f t="shared" si="3"/>
        <v>T-Shirt Adidas</v>
      </c>
    </row>
    <row r="9" spans="1:13" ht="15.75" customHeight="1">
      <c r="A9" s="3" t="s">
        <v>31</v>
      </c>
      <c r="B9" s="3" t="s">
        <v>32</v>
      </c>
      <c r="C9" s="3" t="s">
        <v>33</v>
      </c>
      <c r="D9" s="12">
        <v>90</v>
      </c>
      <c r="E9" s="3">
        <v>35</v>
      </c>
      <c r="F9" s="3" t="s">
        <v>17</v>
      </c>
      <c r="G9" t="str">
        <f t="shared" si="0"/>
        <v>23-AUG</v>
      </c>
      <c r="H9" s="10">
        <f t="shared" si="1"/>
        <v>46257</v>
      </c>
      <c r="I9" t="str">
        <f t="shared" si="2"/>
        <v>UK</v>
      </c>
      <c r="J9" t="str">
        <f t="shared" si="3"/>
        <v>Blender Ninja</v>
      </c>
    </row>
    <row r="10" spans="1:13" ht="15.75" customHeight="1">
      <c r="A10" s="2" t="s">
        <v>34</v>
      </c>
      <c r="B10" s="2" t="s">
        <v>35</v>
      </c>
      <c r="C10" s="2" t="s">
        <v>36</v>
      </c>
      <c r="D10" s="11">
        <v>500</v>
      </c>
      <c r="E10" s="2">
        <v>50</v>
      </c>
      <c r="F10" s="2" t="s">
        <v>9</v>
      </c>
      <c r="G10" t="str">
        <f t="shared" si="0"/>
        <v>05-SEP</v>
      </c>
      <c r="H10" s="10">
        <f t="shared" si="1"/>
        <v>46270</v>
      </c>
      <c r="I10" t="str">
        <f t="shared" si="2"/>
        <v>UK</v>
      </c>
      <c r="J10" t="str">
        <f t="shared" si="3"/>
        <v>Tablet Apple</v>
      </c>
    </row>
    <row r="11" spans="1:13" ht="15.75" customHeight="1">
      <c r="A11" s="3" t="s">
        <v>37</v>
      </c>
      <c r="B11" s="3" t="s">
        <v>38</v>
      </c>
      <c r="C11" s="3" t="s">
        <v>39</v>
      </c>
      <c r="D11" s="12">
        <v>130</v>
      </c>
      <c r="E11" s="3">
        <v>10</v>
      </c>
      <c r="F11" s="3" t="s">
        <v>40</v>
      </c>
      <c r="G11" t="str">
        <f t="shared" si="0"/>
        <v>14-OCT</v>
      </c>
      <c r="H11" s="10">
        <f t="shared" si="1"/>
        <v>46309</v>
      </c>
      <c r="I11" t="str">
        <f t="shared" si="2"/>
        <v>UK</v>
      </c>
      <c r="J11" t="str">
        <f t="shared" si="3"/>
        <v>Hiking Boots Timberland</v>
      </c>
    </row>
    <row r="12" spans="1:13" ht="15.75" customHeight="1">
      <c r="A12" s="2" t="s">
        <v>41</v>
      </c>
      <c r="B12" s="2" t="s">
        <v>42</v>
      </c>
      <c r="C12" s="2" t="s">
        <v>43</v>
      </c>
      <c r="D12" s="11">
        <v>950</v>
      </c>
      <c r="E12" s="2">
        <v>25</v>
      </c>
      <c r="F12" s="2" t="s">
        <v>9</v>
      </c>
      <c r="G12" t="str">
        <f t="shared" si="0"/>
        <v>17-JUN</v>
      </c>
      <c r="H12" s="10">
        <f t="shared" si="1"/>
        <v>46190</v>
      </c>
      <c r="I12" t="str">
        <f t="shared" si="2"/>
        <v>IN</v>
      </c>
      <c r="J12" t="str">
        <f t="shared" si="3"/>
        <v>Laptop HP</v>
      </c>
    </row>
    <row r="13" spans="1:13" ht="15.75" customHeight="1">
      <c r="A13" s="3" t="s">
        <v>44</v>
      </c>
      <c r="B13" s="3" t="s">
        <v>11</v>
      </c>
      <c r="C13" s="3" t="s">
        <v>30</v>
      </c>
      <c r="D13" s="12">
        <v>90</v>
      </c>
      <c r="E13" s="3">
        <v>40</v>
      </c>
      <c r="F13" s="3" t="s">
        <v>100</v>
      </c>
      <c r="G13" t="str">
        <f t="shared" si="0"/>
        <v>25-NOV</v>
      </c>
      <c r="H13" s="10">
        <f t="shared" si="1"/>
        <v>46351</v>
      </c>
      <c r="I13" t="str">
        <f t="shared" si="2"/>
        <v>AU</v>
      </c>
      <c r="J13" t="str">
        <f t="shared" si="3"/>
        <v>Sneakers Adidas</v>
      </c>
    </row>
    <row r="14" spans="1:13" ht="15.75" customHeight="1">
      <c r="A14" s="2" t="s">
        <v>45</v>
      </c>
      <c r="B14" s="2" t="s">
        <v>15</v>
      </c>
      <c r="C14" s="2" t="s">
        <v>46</v>
      </c>
      <c r="D14" s="11">
        <v>120</v>
      </c>
      <c r="E14" s="2">
        <v>35</v>
      </c>
      <c r="F14" s="2" t="s">
        <v>100</v>
      </c>
      <c r="G14" t="str">
        <f t="shared" si="0"/>
        <v>08-DEC</v>
      </c>
      <c r="H14" s="10">
        <f t="shared" si="1"/>
        <v>46364</v>
      </c>
      <c r="I14" t="str">
        <f t="shared" si="2"/>
        <v>DE</v>
      </c>
      <c r="J14" t="str">
        <f t="shared" si="3"/>
        <v>Coffee Maker Nespresso</v>
      </c>
    </row>
    <row r="15" spans="1:13" ht="15.75" customHeight="1">
      <c r="A15" s="3" t="s">
        <v>47</v>
      </c>
      <c r="B15" s="3" t="s">
        <v>48</v>
      </c>
      <c r="C15" s="3" t="s">
        <v>49</v>
      </c>
      <c r="D15" s="12">
        <v>150</v>
      </c>
      <c r="E15" s="3">
        <v>15</v>
      </c>
      <c r="F15" s="3" t="s">
        <v>9</v>
      </c>
      <c r="G15" t="str">
        <f t="shared" si="0"/>
        <v>18-FEB</v>
      </c>
      <c r="H15" s="10">
        <f t="shared" si="1"/>
        <v>46071</v>
      </c>
      <c r="I15" t="str">
        <f t="shared" si="2"/>
        <v>CA</v>
      </c>
      <c r="J15" t="str">
        <f t="shared" si="3"/>
        <v>Smartwatch Fitbit</v>
      </c>
    </row>
    <row r="16" spans="1:13" ht="15.75" customHeight="1">
      <c r="A16" s="2" t="s">
        <v>50</v>
      </c>
      <c r="B16" s="2" t="s">
        <v>25</v>
      </c>
      <c r="C16" s="2" t="s">
        <v>52</v>
      </c>
      <c r="D16" s="11">
        <v>250</v>
      </c>
      <c r="E16" s="2">
        <v>20</v>
      </c>
      <c r="F16" s="2" t="s">
        <v>9</v>
      </c>
      <c r="G16" t="str">
        <f t="shared" si="0"/>
        <v>16-APR</v>
      </c>
      <c r="H16" s="10">
        <f t="shared" si="1"/>
        <v>46128</v>
      </c>
      <c r="I16" t="str">
        <f t="shared" si="2"/>
        <v>ES</v>
      </c>
      <c r="J16" t="str">
        <f t="shared" si="3"/>
        <v>Headphones Bose</v>
      </c>
    </row>
    <row r="17" spans="1:10" ht="15.75" customHeight="1">
      <c r="A17" s="3" t="s">
        <v>53</v>
      </c>
      <c r="B17" s="3" t="s">
        <v>54</v>
      </c>
      <c r="C17" s="3" t="s">
        <v>55</v>
      </c>
      <c r="D17" s="12">
        <v>50</v>
      </c>
      <c r="E17" s="3">
        <v>35</v>
      </c>
      <c r="F17" s="3" t="s">
        <v>56</v>
      </c>
      <c r="G17" t="str">
        <f t="shared" si="0"/>
        <v>21-AUG</v>
      </c>
      <c r="H17" s="10">
        <f t="shared" si="1"/>
        <v>46255</v>
      </c>
      <c r="I17" t="str">
        <f t="shared" si="2"/>
        <v>CA</v>
      </c>
      <c r="J17" t="str">
        <f t="shared" si="3"/>
        <v>Laptop Bag Samsonite</v>
      </c>
    </row>
    <row r="18" spans="1:10" ht="15.75" customHeight="1">
      <c r="A18" s="2" t="s">
        <v>57</v>
      </c>
      <c r="B18" s="2" t="s">
        <v>48</v>
      </c>
      <c r="C18" s="2" t="s">
        <v>58</v>
      </c>
      <c r="D18" s="11">
        <v>160</v>
      </c>
      <c r="E18" s="2">
        <v>15</v>
      </c>
      <c r="F18" s="2" t="s">
        <v>9</v>
      </c>
      <c r="G18" t="str">
        <f t="shared" si="0"/>
        <v>20-AUG</v>
      </c>
      <c r="H18" s="10">
        <f t="shared" si="1"/>
        <v>46254</v>
      </c>
      <c r="I18" t="str">
        <f t="shared" si="2"/>
        <v>CN</v>
      </c>
      <c r="J18" t="str">
        <f t="shared" si="3"/>
        <v>Smartwatch Huawei</v>
      </c>
    </row>
    <row r="19" spans="1:10" ht="15.75" customHeight="1">
      <c r="A19" s="3" t="s">
        <v>59</v>
      </c>
      <c r="B19" s="3" t="s">
        <v>42</v>
      </c>
      <c r="C19" s="3" t="s">
        <v>60</v>
      </c>
      <c r="D19" s="12">
        <v>980</v>
      </c>
      <c r="E19" s="3">
        <v>10</v>
      </c>
      <c r="F19" s="3" t="s">
        <v>9</v>
      </c>
      <c r="G19" t="str">
        <f t="shared" si="0"/>
        <v>27-JAN</v>
      </c>
      <c r="H19" s="10">
        <f t="shared" si="1"/>
        <v>46049</v>
      </c>
      <c r="I19" t="str">
        <f t="shared" si="2"/>
        <v>IT</v>
      </c>
      <c r="J19" t="str">
        <f t="shared" si="3"/>
        <v>Laptop Asus</v>
      </c>
    </row>
    <row r="20" spans="1:10" ht="15.75" customHeight="1">
      <c r="A20" s="2" t="s">
        <v>61</v>
      </c>
      <c r="B20" s="2" t="s">
        <v>62</v>
      </c>
      <c r="C20" s="2" t="s">
        <v>63</v>
      </c>
      <c r="D20" s="11">
        <v>150</v>
      </c>
      <c r="E20" s="2">
        <v>15</v>
      </c>
      <c r="F20" s="2" t="s">
        <v>13</v>
      </c>
      <c r="G20" t="str">
        <f t="shared" si="0"/>
        <v>01-MAR</v>
      </c>
      <c r="H20" s="10">
        <f t="shared" si="1"/>
        <v>46082</v>
      </c>
      <c r="I20" t="str">
        <f t="shared" si="2"/>
        <v>UK</v>
      </c>
      <c r="J20" t="str">
        <f t="shared" si="3"/>
        <v>Sunglasses Oakley</v>
      </c>
    </row>
    <row r="21" spans="1:10" ht="15.75" customHeight="1">
      <c r="A21" s="3" t="s">
        <v>64</v>
      </c>
      <c r="B21" s="3" t="s">
        <v>65</v>
      </c>
      <c r="C21" s="3" t="s">
        <v>66</v>
      </c>
      <c r="D21" s="12">
        <v>130</v>
      </c>
      <c r="E21" s="3">
        <v>10</v>
      </c>
      <c r="F21" s="3" t="s">
        <v>40</v>
      </c>
      <c r="G21" t="str">
        <f t="shared" si="0"/>
        <v>14-AUG</v>
      </c>
      <c r="H21" s="10">
        <f t="shared" si="1"/>
        <v>46248</v>
      </c>
      <c r="I21" t="str">
        <f t="shared" si="2"/>
        <v>US</v>
      </c>
      <c r="J21" t="str">
        <f t="shared" si="3"/>
        <v>Camping Tent Coleman</v>
      </c>
    </row>
    <row r="22" spans="1:10" ht="15.75" customHeight="1">
      <c r="A22" s="2" t="s">
        <v>67</v>
      </c>
      <c r="B22" s="2" t="s">
        <v>68</v>
      </c>
      <c r="C22" s="2" t="s">
        <v>69</v>
      </c>
      <c r="D22" s="11">
        <v>700</v>
      </c>
      <c r="E22" s="2">
        <v>50</v>
      </c>
      <c r="F22" s="2" t="s">
        <v>9</v>
      </c>
      <c r="G22" t="str">
        <f t="shared" si="0"/>
        <v>14-MAY</v>
      </c>
      <c r="H22" s="10">
        <f t="shared" si="1"/>
        <v>46156</v>
      </c>
      <c r="I22" t="str">
        <f t="shared" si="2"/>
        <v>RU</v>
      </c>
      <c r="J22" t="str">
        <f t="shared" si="3"/>
        <v>Camera Nikon</v>
      </c>
    </row>
    <row r="23" spans="1:10" ht="15.75" customHeight="1">
      <c r="A23" s="3" t="s">
        <v>70</v>
      </c>
      <c r="B23" s="3" t="s">
        <v>71</v>
      </c>
      <c r="C23" s="3" t="s">
        <v>72</v>
      </c>
      <c r="D23" s="12">
        <v>80</v>
      </c>
      <c r="E23" s="3">
        <v>20</v>
      </c>
      <c r="F23" s="3" t="s">
        <v>17</v>
      </c>
      <c r="G23" t="str">
        <f t="shared" si="0"/>
        <v>09-JAN</v>
      </c>
      <c r="H23" s="10">
        <f t="shared" si="1"/>
        <v>46031</v>
      </c>
      <c r="I23" t="str">
        <f t="shared" si="2"/>
        <v>CA</v>
      </c>
      <c r="J23" t="str">
        <f t="shared" si="3"/>
        <v>Microwave Panasonic</v>
      </c>
    </row>
    <row r="24" spans="1:10" ht="15.75" customHeight="1">
      <c r="A24" s="2" t="s">
        <v>73</v>
      </c>
      <c r="B24" s="2" t="s">
        <v>74</v>
      </c>
      <c r="C24" s="2" t="s">
        <v>75</v>
      </c>
      <c r="D24" s="11">
        <v>150</v>
      </c>
      <c r="E24" s="2">
        <v>30</v>
      </c>
      <c r="F24" s="2" t="s">
        <v>100</v>
      </c>
      <c r="G24" t="str">
        <f t="shared" si="0"/>
        <v>19-JUL</v>
      </c>
      <c r="H24" s="10">
        <f t="shared" si="1"/>
        <v>46222</v>
      </c>
      <c r="I24" t="str">
        <f t="shared" si="2"/>
        <v>BR</v>
      </c>
      <c r="J24" t="str">
        <f t="shared" si="3"/>
        <v>Fitness Tracker Xiaomi</v>
      </c>
    </row>
    <row r="25" spans="1:10" ht="15.75" customHeight="1">
      <c r="A25" s="2" t="s">
        <v>76</v>
      </c>
      <c r="B25" s="2" t="s">
        <v>77</v>
      </c>
      <c r="C25" s="2" t="s">
        <v>78</v>
      </c>
      <c r="D25" s="11">
        <v>800</v>
      </c>
      <c r="E25" s="2">
        <v>45</v>
      </c>
      <c r="F25" s="2" t="s">
        <v>9</v>
      </c>
      <c r="G25" t="str">
        <f t="shared" si="0"/>
        <v>29-SEP</v>
      </c>
      <c r="H25" s="10">
        <f t="shared" si="1"/>
        <v>46294</v>
      </c>
      <c r="I25" t="str">
        <f t="shared" si="2"/>
        <v>CA</v>
      </c>
      <c r="J25" t="str">
        <f t="shared" si="3"/>
        <v>Smartphone Google</v>
      </c>
    </row>
    <row r="26" spans="1:10" ht="15.75" customHeight="1">
      <c r="A26" s="3" t="s">
        <v>79</v>
      </c>
      <c r="B26" s="3" t="s">
        <v>62</v>
      </c>
      <c r="C26" s="3" t="s">
        <v>80</v>
      </c>
      <c r="D26" s="12">
        <v>150</v>
      </c>
      <c r="E26" s="3">
        <v>25</v>
      </c>
      <c r="F26" s="3" t="s">
        <v>13</v>
      </c>
      <c r="G26" t="str">
        <f t="shared" si="0"/>
        <v>03-JUN</v>
      </c>
      <c r="H26" s="10">
        <f t="shared" si="1"/>
        <v>46176</v>
      </c>
      <c r="I26" t="str">
        <f t="shared" si="2"/>
        <v>CA</v>
      </c>
      <c r="J26" t="str">
        <f t="shared" si="3"/>
        <v>Sunglasses Ray-Ban</v>
      </c>
    </row>
    <row r="27" spans="1:10" ht="15.75" customHeight="1">
      <c r="A27" s="2" t="s">
        <v>81</v>
      </c>
      <c r="B27" s="2" t="s">
        <v>32</v>
      </c>
      <c r="C27" s="2" t="s">
        <v>82</v>
      </c>
      <c r="D27" s="11">
        <v>400</v>
      </c>
      <c r="E27" s="2">
        <v>40</v>
      </c>
      <c r="F27" s="2" t="s">
        <v>17</v>
      </c>
      <c r="G27" t="str">
        <f t="shared" si="0"/>
        <v>11-JUL</v>
      </c>
      <c r="H27" s="10">
        <f t="shared" si="1"/>
        <v>46214</v>
      </c>
      <c r="I27" t="str">
        <f t="shared" si="2"/>
        <v>CA</v>
      </c>
      <c r="J27" t="str">
        <f t="shared" si="3"/>
        <v>Blender Vitamix</v>
      </c>
    </row>
    <row r="28" spans="1:10" ht="15.75" customHeight="1">
      <c r="A28" s="2" t="s">
        <v>83</v>
      </c>
      <c r="B28" s="2" t="s">
        <v>84</v>
      </c>
      <c r="C28" s="2" t="s">
        <v>85</v>
      </c>
      <c r="D28" s="11">
        <v>60</v>
      </c>
      <c r="E28" s="2">
        <v>30</v>
      </c>
      <c r="F28" s="2" t="s">
        <v>13</v>
      </c>
      <c r="G28" t="str">
        <f t="shared" si="0"/>
        <v>07-MAR</v>
      </c>
      <c r="H28" s="10">
        <f t="shared" si="1"/>
        <v>46088</v>
      </c>
      <c r="I28" t="str">
        <f t="shared" si="2"/>
        <v>CA</v>
      </c>
      <c r="J28" t="str">
        <f t="shared" si="3"/>
        <v>Dress Zara</v>
      </c>
    </row>
    <row r="29" spans="1:10" ht="15.75" customHeight="1">
      <c r="A29" s="3" t="s">
        <v>86</v>
      </c>
      <c r="B29" s="3" t="s">
        <v>87</v>
      </c>
      <c r="C29" s="3" t="s">
        <v>88</v>
      </c>
      <c r="D29" s="12">
        <v>40</v>
      </c>
      <c r="E29" s="3">
        <v>10</v>
      </c>
      <c r="F29" s="3" t="s">
        <v>17</v>
      </c>
      <c r="G29" t="str">
        <f t="shared" si="0"/>
        <v>13-APR</v>
      </c>
      <c r="H29" s="10">
        <f t="shared" si="1"/>
        <v>46125</v>
      </c>
      <c r="I29" t="str">
        <f t="shared" si="2"/>
        <v>CA</v>
      </c>
      <c r="J29" t="str">
        <f t="shared" si="3"/>
        <v>Toaster Hamilton</v>
      </c>
    </row>
    <row r="30" spans="1:10" ht="15.75" customHeight="1">
      <c r="A30" s="2" t="s">
        <v>89</v>
      </c>
      <c r="B30" s="2" t="s">
        <v>74</v>
      </c>
      <c r="C30" s="2" t="s">
        <v>90</v>
      </c>
      <c r="D30" s="11">
        <v>130</v>
      </c>
      <c r="E30" s="2">
        <v>5</v>
      </c>
      <c r="F30" s="2" t="s">
        <v>9</v>
      </c>
      <c r="G30" t="str">
        <f t="shared" si="0"/>
        <v>24-MAY</v>
      </c>
      <c r="H30" s="10">
        <f t="shared" si="1"/>
        <v>46166</v>
      </c>
      <c r="I30" t="str">
        <f t="shared" si="2"/>
        <v>CA</v>
      </c>
      <c r="J30" t="str">
        <f t="shared" si="3"/>
        <v>Fitness Tracker Garmin</v>
      </c>
    </row>
    <row r="31" spans="1:10" ht="15.75" customHeight="1">
      <c r="A31" s="3" t="s">
        <v>91</v>
      </c>
      <c r="B31" s="3" t="s">
        <v>92</v>
      </c>
      <c r="C31" s="3" t="s">
        <v>93</v>
      </c>
      <c r="D31" s="12">
        <v>50</v>
      </c>
      <c r="E31" s="3">
        <v>50</v>
      </c>
      <c r="F31" s="3" t="s">
        <v>13</v>
      </c>
      <c r="G31" t="str">
        <f t="shared" si="0"/>
        <v>02-DEC</v>
      </c>
      <c r="H31" s="10">
        <f t="shared" si="1"/>
        <v>46358</v>
      </c>
      <c r="I31" t="str">
        <f t="shared" si="2"/>
        <v>CA</v>
      </c>
      <c r="J31" t="str">
        <f t="shared" si="3"/>
        <v>Jeans Levi's</v>
      </c>
    </row>
    <row r="32" spans="1:10" ht="15.75" customHeight="1">
      <c r="A32" s="3" t="s">
        <v>94</v>
      </c>
      <c r="B32" s="3" t="s">
        <v>95</v>
      </c>
      <c r="C32" s="3" t="s">
        <v>96</v>
      </c>
      <c r="D32" s="12">
        <v>100</v>
      </c>
      <c r="E32" s="3">
        <v>20</v>
      </c>
      <c r="F32" s="3" t="s">
        <v>56</v>
      </c>
      <c r="G32" t="str">
        <f t="shared" si="0"/>
        <v>09-JUL</v>
      </c>
      <c r="H32" s="10">
        <f t="shared" si="1"/>
        <v>46212</v>
      </c>
      <c r="I32" t="str">
        <f t="shared" si="2"/>
        <v>FR</v>
      </c>
      <c r="J32" t="str">
        <f t="shared" si="3"/>
        <v>Watch Casio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1: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{57D1F021-9454-43D7-8C14-5DF7CE377FAE}</x14:id>
        </ext>
      </extLst>
    </cfRule>
  </conditionalFormatting>
  <conditionalFormatting sqref="F1:F1048576">
    <cfRule type="cellIs" dxfId="0" priority="2" operator="equal">
      <formula>"Electronics"</formula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7D1F021-9454-43D7-8C14-5DF7CE377F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Dataset</vt:lpstr>
      <vt:lpstr>Remove Duplicates</vt:lpstr>
      <vt:lpstr>Correcting Inconsistent Data</vt:lpstr>
      <vt:lpstr>Handling Missing Values</vt:lpstr>
      <vt:lpstr>Splitting and Merging Data</vt:lpstr>
      <vt:lpstr>Number Formatting</vt:lpstr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RAJA MUTHIAH</cp:lastModifiedBy>
  <dcterms:created xsi:type="dcterms:W3CDTF">2026-07-23T14:43:37Z</dcterms:created>
  <dcterms:modified xsi:type="dcterms:W3CDTF">2026-08-30T16:17:11Z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8359FE2C7BAF4D28ADCFE4336C4EBA81_12</vt:lpwstr>
  </property>
  <property fmtid="{D5CDD505-2E9C-101B-9397-08002B2CF9AE}" pid="3" name="KSOProductBuildVer">
    <vt:lpwstr>2057-12.2.0.23206</vt:lpwstr>
  </property>
</Properties>
</file>